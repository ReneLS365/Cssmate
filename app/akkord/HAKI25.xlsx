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1\AC\Temp\"/>
    </mc:Choice>
  </mc:AlternateContent>
  <xr:revisionPtr revIDLastSave="0" documentId="8_{5B2E755D-D7CB-B148-8B7F-B5D96945DAE1}" xr6:coauthVersionLast="47" xr6:coauthVersionMax="47" xr10:uidLastSave="{00000000-0000-0000-0000-000000000000}"/>
  <bookViews>
    <workbookView xWindow="-60" yWindow="-60" windowWidth="15480" windowHeight="11640" firstSheet="2" activeTab="11" xr2:uid="{DF0D0114-24C9-4286-944D-78C47C8150CC}"/>
  </bookViews>
  <sheets>
    <sheet name="Faktor" sheetId="2" r:id="rId1"/>
    <sheet name="2014" sheetId="1" r:id="rId2"/>
    <sheet name="2015" sheetId="3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2023" sheetId="11" r:id="rId11"/>
    <sheet name="2025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B51" i="11"/>
  <c r="B50" i="11"/>
  <c r="B49" i="11"/>
  <c r="B48" i="11"/>
  <c r="B47" i="11"/>
  <c r="B46" i="11"/>
  <c r="B50" i="10"/>
  <c r="B49" i="10"/>
  <c r="B48" i="10"/>
  <c r="B47" i="10"/>
  <c r="B46" i="10"/>
  <c r="B51" i="10"/>
  <c r="F37" i="9"/>
  <c r="F36" i="9"/>
  <c r="F15" i="9"/>
  <c r="F12" i="8"/>
  <c r="F15" i="8"/>
  <c r="F16" i="8"/>
  <c r="F17" i="8"/>
  <c r="F18" i="8"/>
  <c r="F20" i="8"/>
  <c r="F23" i="8"/>
  <c r="F24" i="8"/>
  <c r="F25" i="8"/>
  <c r="F26" i="8"/>
  <c r="F27" i="8"/>
  <c r="F28" i="8"/>
  <c r="F30" i="8"/>
  <c r="F31" i="8"/>
  <c r="F33" i="8"/>
  <c r="F35" i="8"/>
  <c r="F36" i="8"/>
  <c r="F37" i="8"/>
  <c r="F38" i="8"/>
  <c r="F39" i="8"/>
  <c r="F40" i="8"/>
  <c r="F43" i="8"/>
  <c r="F45" i="8"/>
  <c r="F53" i="8"/>
  <c r="F11" i="8"/>
  <c r="B11" i="8"/>
  <c r="B13" i="8"/>
  <c r="B15" i="8"/>
  <c r="B16" i="8"/>
  <c r="B17" i="8"/>
  <c r="B18" i="8"/>
  <c r="B19" i="8"/>
  <c r="B21" i="8"/>
  <c r="B22" i="8"/>
  <c r="B23" i="8"/>
  <c r="B24" i="8"/>
  <c r="B25" i="8"/>
  <c r="B26" i="8"/>
  <c r="B27" i="8"/>
  <c r="B28" i="8"/>
  <c r="B29" i="8"/>
  <c r="B31" i="8"/>
  <c r="B32" i="8"/>
  <c r="B33" i="8"/>
  <c r="B34" i="8"/>
  <c r="B35" i="8"/>
  <c r="B36" i="8"/>
  <c r="B37" i="8"/>
  <c r="B41" i="8"/>
  <c r="B42" i="8"/>
  <c r="B44" i="8"/>
  <c r="B45" i="8"/>
  <c r="B46" i="8"/>
  <c r="B53" i="8"/>
  <c r="F36" i="7"/>
  <c r="F37" i="7"/>
  <c r="F38" i="7"/>
  <c r="F39" i="7"/>
  <c r="F40" i="7"/>
  <c r="F23" i="6"/>
  <c r="F23" i="7"/>
  <c r="F35" i="7"/>
  <c r="B16" i="6"/>
  <c r="B16" i="7"/>
  <c r="B24" i="6"/>
  <c r="B24" i="7"/>
  <c r="F24" i="6"/>
  <c r="F24" i="7"/>
  <c r="F36" i="4"/>
  <c r="F36" i="5"/>
  <c r="B17" i="6"/>
  <c r="B17" i="7"/>
  <c r="B26" i="4"/>
  <c r="B26" i="6"/>
  <c r="B26" i="7"/>
  <c r="B27" i="6"/>
  <c r="B27" i="7"/>
  <c r="B47" i="6"/>
  <c r="B47" i="7"/>
  <c r="B48" i="4"/>
  <c r="B48" i="6"/>
  <c r="B48" i="7"/>
  <c r="F36" i="3"/>
  <c r="F12" i="3"/>
  <c r="F12" i="4"/>
  <c r="F12" i="6"/>
  <c r="F12" i="7"/>
  <c r="F15" i="3"/>
  <c r="F15" i="4"/>
  <c r="F15" i="6"/>
  <c r="F15" i="7"/>
  <c r="F16" i="3"/>
  <c r="F16" i="4"/>
  <c r="F16" i="6"/>
  <c r="F16" i="7"/>
  <c r="F17" i="3"/>
  <c r="F17" i="4"/>
  <c r="F17" i="6"/>
  <c r="F17" i="7"/>
  <c r="F18" i="3"/>
  <c r="F18" i="4"/>
  <c r="F18" i="6"/>
  <c r="F18" i="7"/>
  <c r="F20" i="3"/>
  <c r="F20" i="4"/>
  <c r="F20" i="6"/>
  <c r="F20" i="7"/>
  <c r="F23" i="3"/>
  <c r="F23" i="4"/>
  <c r="F24" i="3"/>
  <c r="F24" i="4"/>
  <c r="F25" i="3"/>
  <c r="F25" i="4"/>
  <c r="F25" i="6"/>
  <c r="F25" i="7"/>
  <c r="F26" i="3"/>
  <c r="F26" i="4"/>
  <c r="F26" i="6"/>
  <c r="F26" i="7"/>
  <c r="F27" i="3"/>
  <c r="F27" i="4"/>
  <c r="F27" i="6"/>
  <c r="F27" i="7"/>
  <c r="F28" i="3"/>
  <c r="F28" i="4"/>
  <c r="F28" i="6"/>
  <c r="F28" i="7"/>
  <c r="F30" i="3"/>
  <c r="F30" i="4"/>
  <c r="F30" i="5"/>
  <c r="F30" i="6"/>
  <c r="F30" i="7"/>
  <c r="F31" i="3"/>
  <c r="F31" i="4"/>
  <c r="F31" i="6"/>
  <c r="F31" i="7"/>
  <c r="F35" i="3"/>
  <c r="F43" i="3"/>
  <c r="F43" i="4"/>
  <c r="F43" i="5"/>
  <c r="F43" i="6"/>
  <c r="F43" i="7"/>
  <c r="F45" i="3"/>
  <c r="F45" i="4"/>
  <c r="F47" i="3"/>
  <c r="F47" i="4"/>
  <c r="F47" i="5"/>
  <c r="F47" i="6"/>
  <c r="F51" i="7"/>
  <c r="F11" i="3"/>
  <c r="F11" i="4"/>
  <c r="F11" i="6"/>
  <c r="F11" i="7"/>
  <c r="B11" i="3"/>
  <c r="B11" i="4"/>
  <c r="B11" i="6"/>
  <c r="B13" i="3"/>
  <c r="B13" i="4"/>
  <c r="B13" i="5"/>
  <c r="B13" i="7"/>
  <c r="B15" i="3"/>
  <c r="B15" i="4"/>
  <c r="B15" i="6"/>
  <c r="B15" i="7"/>
  <c r="B16" i="3"/>
  <c r="B16" i="4"/>
  <c r="B17" i="3"/>
  <c r="B17" i="4"/>
  <c r="B18" i="3"/>
  <c r="B18" i="4"/>
  <c r="B18" i="6"/>
  <c r="B18" i="7"/>
  <c r="B19" i="3"/>
  <c r="B19" i="4"/>
  <c r="B19" i="6"/>
  <c r="B19" i="7"/>
  <c r="B21" i="3"/>
  <c r="B21" i="4"/>
  <c r="B21" i="6"/>
  <c r="B21" i="7"/>
  <c r="B22" i="3"/>
  <c r="B22" i="4"/>
  <c r="B22" i="6"/>
  <c r="B22" i="7"/>
  <c r="B23" i="3"/>
  <c r="B23" i="4"/>
  <c r="B23" i="6"/>
  <c r="B23" i="7"/>
  <c r="B25" i="3"/>
  <c r="B25" i="4"/>
  <c r="B25" i="6"/>
  <c r="B25" i="7"/>
  <c r="B26" i="3"/>
  <c r="B27" i="3"/>
  <c r="B27" i="4"/>
  <c r="B28" i="3"/>
  <c r="B28" i="4"/>
  <c r="B28" i="6"/>
  <c r="B28" i="7"/>
  <c r="B29" i="3"/>
  <c r="B29" i="4"/>
  <c r="B29" i="6"/>
  <c r="B29" i="7"/>
  <c r="B31" i="3"/>
  <c r="B31" i="4"/>
  <c r="B31" i="6"/>
  <c r="B31" i="7"/>
  <c r="B32" i="3"/>
  <c r="B32" i="4"/>
  <c r="B32" i="6"/>
  <c r="B32" i="7"/>
  <c r="B33" i="3"/>
  <c r="B33" i="4"/>
  <c r="B33" i="5"/>
  <c r="B33" i="6"/>
  <c r="B33" i="7"/>
  <c r="B34" i="3"/>
  <c r="B34" i="4"/>
  <c r="B34" i="5"/>
  <c r="B34" i="6"/>
  <c r="B34" i="7"/>
  <c r="B35" i="3"/>
  <c r="B35" i="4"/>
  <c r="B35" i="5"/>
  <c r="B35" i="6"/>
  <c r="B35" i="7"/>
  <c r="B36" i="3"/>
  <c r="B36" i="4"/>
  <c r="B36" i="5"/>
  <c r="B36" i="6"/>
  <c r="B36" i="7"/>
  <c r="B37" i="3"/>
  <c r="B37" i="4"/>
  <c r="B37" i="5"/>
  <c r="B37" i="6"/>
  <c r="B37" i="7"/>
  <c r="B41" i="3"/>
  <c r="B41" i="4"/>
  <c r="B41" i="6"/>
  <c r="B41" i="7"/>
  <c r="B42" i="3"/>
  <c r="B42" i="4"/>
  <c r="B42" i="6"/>
  <c r="B42" i="7"/>
  <c r="B44" i="3"/>
  <c r="B44" i="4"/>
  <c r="B44" i="6"/>
  <c r="B44" i="7"/>
  <c r="B45" i="3"/>
  <c r="B45" i="4"/>
  <c r="B45" i="6"/>
  <c r="B45" i="7"/>
  <c r="B46" i="3"/>
  <c r="B46" i="4"/>
  <c r="B46" i="6"/>
  <c r="B46" i="7"/>
  <c r="B47" i="3"/>
  <c r="B47" i="4"/>
  <c r="B48" i="3"/>
  <c r="B49" i="3"/>
  <c r="B49" i="4"/>
  <c r="B49" i="6"/>
  <c r="B49" i="7"/>
  <c r="B51" i="3"/>
  <c r="B51" i="4"/>
  <c r="B51" i="6"/>
  <c r="B51" i="7"/>
  <c r="B10" i="3"/>
  <c r="B10" i="4"/>
  <c r="B10" i="6"/>
</calcChain>
</file>

<file path=xl/sharedStrings.xml><?xml version="1.0" encoding="utf-8"?>
<sst xmlns="http://schemas.openxmlformats.org/spreadsheetml/2006/main" count="901" uniqueCount="110">
  <si>
    <t>BPF Fodsokkel</t>
  </si>
  <si>
    <t>FS 3,0 m Søjle</t>
  </si>
  <si>
    <t>FS 2,0 m Søjle</t>
  </si>
  <si>
    <t>FS 1,5 m Søjle</t>
  </si>
  <si>
    <t>FS 0,5 m Søjle</t>
  </si>
  <si>
    <t>LB 4,0 m bjælke</t>
  </si>
  <si>
    <t>LB 3,6 m bjælke</t>
  </si>
  <si>
    <t>LB 3,0 m bjælke</t>
  </si>
  <si>
    <t>TB 1,9 m bjælke</t>
  </si>
  <si>
    <t>TB 1,6 m bjælke</t>
  </si>
  <si>
    <t>TB 1,2 m bjælke</t>
  </si>
  <si>
    <t>TB 1,0 m bjælke</t>
  </si>
  <si>
    <t>TB 0,5 m bjælke</t>
  </si>
  <si>
    <t>SKR 4.0 m rækværk</t>
  </si>
  <si>
    <t>SKR 3.6 m rækværk</t>
  </si>
  <si>
    <t>SKR 3.0 m rækværk</t>
  </si>
  <si>
    <t>SKR 1.9 m rækværk</t>
  </si>
  <si>
    <t>SKR 1.6 m rækværk</t>
  </si>
  <si>
    <t>SKR 1.2 m rækværk</t>
  </si>
  <si>
    <t>SKR 1.0 m rækværk</t>
  </si>
  <si>
    <t>Sted</t>
  </si>
  <si>
    <t>Opgave</t>
  </si>
  <si>
    <t>Kunde</t>
  </si>
  <si>
    <t>Sag nr.</t>
  </si>
  <si>
    <t>Traller 2.2 x 0.5m</t>
  </si>
  <si>
    <t>Stiger til 3m</t>
  </si>
  <si>
    <t>Koblinger fast</t>
  </si>
  <si>
    <t>Koblinger dreje</t>
  </si>
  <si>
    <t>Koblinger SK</t>
  </si>
  <si>
    <t>Koblinger Kipfinger</t>
  </si>
  <si>
    <t>Koblinger singel</t>
  </si>
  <si>
    <t>Koblinger samler</t>
  </si>
  <si>
    <t>Grøn skilt</t>
  </si>
  <si>
    <t>Montage pris</t>
  </si>
  <si>
    <t>Demontage pris</t>
  </si>
  <si>
    <t>Luk af hul</t>
  </si>
  <si>
    <t>Km</t>
  </si>
  <si>
    <t>Samlet pris</t>
  </si>
  <si>
    <t>Pris pr time</t>
  </si>
  <si>
    <t>enh.</t>
  </si>
  <si>
    <t>Pris /</t>
  </si>
  <si>
    <t>Antal</t>
  </si>
  <si>
    <t>Pris i alt</t>
  </si>
  <si>
    <t>Dato</t>
  </si>
  <si>
    <t>Montør</t>
  </si>
  <si>
    <t>Demo</t>
  </si>
  <si>
    <t xml:space="preserve">Mont </t>
  </si>
  <si>
    <t>Reklameskilt</t>
  </si>
  <si>
    <t>Tillæg     % +</t>
  </si>
  <si>
    <t>Diagonalstag 3.0 m</t>
  </si>
  <si>
    <t>Diagonalstag 1,6 m</t>
  </si>
  <si>
    <t>Røranker</t>
  </si>
  <si>
    <t>FS 1.0 m Søjle</t>
  </si>
  <si>
    <t>Strø / trykudligner</t>
  </si>
  <si>
    <t>Kantbrædder</t>
  </si>
  <si>
    <t>Låsejern</t>
  </si>
  <si>
    <t>HAKI</t>
  </si>
  <si>
    <t>Spindelfod kort</t>
  </si>
  <si>
    <t>Skur/Dyrtid</t>
  </si>
  <si>
    <t>Stilladsrør 1M</t>
  </si>
  <si>
    <t>Stilladsrør 2M</t>
  </si>
  <si>
    <t>Stilladsrør 3M</t>
  </si>
  <si>
    <t>Stilladsrør 4M</t>
  </si>
  <si>
    <t>Stilladsrør 5M</t>
  </si>
  <si>
    <t>Stilladsrør 6M</t>
  </si>
  <si>
    <t>Alu.Drager pr. m.</t>
  </si>
  <si>
    <t>Net pr. m2</t>
  </si>
  <si>
    <t>Plastik pr. m2</t>
  </si>
  <si>
    <t>Bøjleanker</t>
  </si>
  <si>
    <t>Traller 2.2 x 0.35m</t>
  </si>
  <si>
    <t>Forøgelses faktor</t>
  </si>
  <si>
    <t>HAKI 2016</t>
  </si>
  <si>
    <t>LB 2,5 m bjælke</t>
  </si>
  <si>
    <t>HAKI 2017</t>
  </si>
  <si>
    <t>HAKI 2018</t>
  </si>
  <si>
    <t>HAKI 2019</t>
  </si>
  <si>
    <t>Grønne skilte</t>
  </si>
  <si>
    <t>Tralle løft</t>
  </si>
  <si>
    <t>Dobbelt tværgelænder</t>
  </si>
  <si>
    <t>Geda hejs</t>
  </si>
  <si>
    <t>El hejs</t>
  </si>
  <si>
    <t>Kegle uden fod</t>
  </si>
  <si>
    <t>Kegle med fod</t>
  </si>
  <si>
    <t>Opskydeligt rækværk</t>
  </si>
  <si>
    <t>HAKI 2020</t>
  </si>
  <si>
    <t xml:space="preserve">Bemærkninger: </t>
  </si>
  <si>
    <t>HAKI 2021</t>
  </si>
  <si>
    <t>Trappeløb</t>
  </si>
  <si>
    <t>Trappe gelænder</t>
  </si>
  <si>
    <t>Skaktrør</t>
  </si>
  <si>
    <t>Tragt</t>
  </si>
  <si>
    <t>Beton</t>
  </si>
  <si>
    <t>HAKI 2023</t>
  </si>
  <si>
    <t>Røranker alu</t>
  </si>
  <si>
    <t>Røranker stål</t>
  </si>
  <si>
    <t>Stilladsrør 6M alu</t>
  </si>
  <si>
    <t>Traller 2,2 x 0,5m alu</t>
  </si>
  <si>
    <t>Uddannelsestillæg 1</t>
  </si>
  <si>
    <t>Uddannelsestillæg 2</t>
  </si>
  <si>
    <t>Mentortillæg</t>
  </si>
  <si>
    <t>Bræt</t>
  </si>
  <si>
    <t xml:space="preserve">Huller </t>
  </si>
  <si>
    <t>HAKI 2025</t>
  </si>
  <si>
    <t>Montagepris</t>
  </si>
  <si>
    <t>Demontagepris</t>
  </si>
  <si>
    <t>Borring i beton</t>
  </si>
  <si>
    <t>Tillæg     %+</t>
  </si>
  <si>
    <t>Km.</t>
  </si>
  <si>
    <t>Udd. tillæg 1</t>
  </si>
  <si>
    <t>Udd. tillæg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</si>
</sst>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4" xfId="0" applyFont="1" applyBorder="1" applyAlignment="1">
      <alignment horizontal="right"/>
    </xf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24" xfId="0" applyNumberFormat="1" applyBorder="1"/>
    <xf numFmtId="0" fontId="0" fillId="0" borderId="24" xfId="0" applyBorder="1"/>
    <xf numFmtId="0" fontId="0" fillId="0" borderId="25" xfId="0" applyBorder="1"/>
    <xf numFmtId="0" fontId="3" fillId="0" borderId="0" xfId="0" applyFont="1"/>
    <xf numFmtId="0" fontId="4" fillId="0" borderId="0" xfId="0" applyFont="1"/>
    <xf numFmtId="0" fontId="0" fillId="0" borderId="26" xfId="0" applyBorder="1"/>
    <xf numFmtId="0" fontId="0" fillId="0" borderId="27" xfId="0" applyBorder="1"/>
    <xf numFmtId="2" fontId="0" fillId="0" borderId="27" xfId="0" applyNumberFormat="1" applyBorder="1"/>
    <xf numFmtId="0" fontId="0" fillId="0" borderId="28" xfId="0" applyBorder="1"/>
    <xf numFmtId="2" fontId="0" fillId="0" borderId="21" xfId="0" applyNumberFormat="1" applyBorder="1"/>
    <xf numFmtId="0" fontId="5" fillId="0" borderId="14" xfId="0" applyFont="1" applyBorder="1"/>
    <xf numFmtId="2" fontId="0" fillId="0" borderId="29" xfId="0" applyNumberFormat="1" applyBorder="1"/>
    <xf numFmtId="10" fontId="0" fillId="0" borderId="0" xfId="0" applyNumberFormat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30" xfId="0" applyNumberFormat="1" applyBorder="1"/>
    <xf numFmtId="0" fontId="0" fillId="0" borderId="0" xfId="0" applyBorder="1"/>
    <xf numFmtId="0" fontId="0" fillId="0" borderId="31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15" xfId="0" applyBorder="1" applyAlignment="1">
      <alignment horizontal="left"/>
    </xf>
    <xf numFmtId="0" fontId="0" fillId="0" borderId="31" xfId="0" applyBorder="1"/>
    <xf numFmtId="0" fontId="0" fillId="0" borderId="4" xfId="0" applyBorder="1"/>
    <xf numFmtId="0" fontId="0" fillId="0" borderId="30" xfId="0" applyFill="1" applyBorder="1"/>
    <xf numFmtId="2" fontId="0" fillId="0" borderId="30" xfId="0" applyNumberFormat="1" applyFill="1" applyBorder="1"/>
    <xf numFmtId="0" fontId="0" fillId="0" borderId="8" xfId="0" applyBorder="1"/>
    <xf numFmtId="0" fontId="0" fillId="0" borderId="10" xfId="0" applyBorder="1"/>
    <xf numFmtId="2" fontId="0" fillId="0" borderId="14" xfId="0" applyNumberFormat="1" applyFill="1" applyBorder="1"/>
    <xf numFmtId="0" fontId="5" fillId="0" borderId="11" xfId="0" applyFont="1" applyBorder="1"/>
    <xf numFmtId="0" fontId="2" fillId="0" borderId="20" xfId="0" applyFont="1" applyBorder="1"/>
    <xf numFmtId="2" fontId="2" fillId="0" borderId="21" xfId="0" applyNumberFormat="1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5" xfId="0" applyFont="1" applyBorder="1"/>
    <xf numFmtId="2" fontId="2" fillId="0" borderId="14" xfId="0" applyNumberFormat="1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23" xfId="0" applyFont="1" applyBorder="1"/>
    <xf numFmtId="2" fontId="2" fillId="0" borderId="24" xfId="0" applyNumberFormat="1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8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31" xfId="0" applyFont="1" applyBorder="1" applyAlignment="1">
      <alignment horizontal="left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15" xfId="0" applyFont="1" applyBorder="1" applyAlignment="1">
      <alignment horizontal="left"/>
    </xf>
    <xf numFmtId="0" fontId="6" fillId="0" borderId="14" xfId="0" applyFont="1" applyBorder="1" applyAlignment="1">
      <alignment horizontal="right"/>
    </xf>
    <xf numFmtId="0" fontId="2" fillId="0" borderId="30" xfId="0" applyFont="1" applyFill="1" applyBorder="1"/>
    <xf numFmtId="0" fontId="2" fillId="0" borderId="10" xfId="0" applyFont="1" applyBorder="1"/>
    <xf numFmtId="0" fontId="2" fillId="0" borderId="27" xfId="0" applyFont="1" applyBorder="1"/>
    <xf numFmtId="2" fontId="2" fillId="0" borderId="27" xfId="0" applyNumberFormat="1" applyFont="1" applyBorder="1"/>
    <xf numFmtId="0" fontId="2" fillId="0" borderId="28" xfId="0" applyFont="1" applyBorder="1"/>
    <xf numFmtId="0" fontId="2" fillId="0" borderId="43" xfId="0" applyFont="1" applyBorder="1"/>
    <xf numFmtId="0" fontId="2" fillId="0" borderId="31" xfId="0" applyFont="1" applyBorder="1"/>
    <xf numFmtId="0" fontId="2" fillId="0" borderId="2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0" xfId="0" applyFont="1" applyBorder="1"/>
    <xf numFmtId="0" fontId="2" fillId="0" borderId="32" xfId="0" applyFont="1" applyBorder="1"/>
    <xf numFmtId="0" fontId="4" fillId="0" borderId="1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18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416C-0187-4255-9911-36A8D2C27095}">
  <dimension ref="A1:B10"/>
  <sheetViews>
    <sheetView topLeftCell="A4" workbookViewId="0">
      <selection activeCell="E28" sqref="E28"/>
    </sheetView>
  </sheetViews>
  <sheetFormatPr defaultColWidth="8.8984375" defaultRowHeight="12.75" x14ac:dyDescent="0.15"/>
  <sheetData>
    <row r="1" spans="1:2" x14ac:dyDescent="0.15">
      <c r="A1" t="s">
        <v>70</v>
      </c>
    </row>
    <row r="3" spans="1:2" x14ac:dyDescent="0.15">
      <c r="A3">
        <v>2015</v>
      </c>
      <c r="B3" s="39">
        <v>1.4E-2</v>
      </c>
    </row>
    <row r="4" spans="1:2" x14ac:dyDescent="0.15">
      <c r="A4">
        <v>2016</v>
      </c>
      <c r="B4" s="39">
        <v>1.9E-2</v>
      </c>
    </row>
    <row r="5" spans="1:2" x14ac:dyDescent="0.15">
      <c r="A5">
        <v>2017</v>
      </c>
      <c r="B5" s="39">
        <v>1.4E-2</v>
      </c>
    </row>
    <row r="6" spans="1:2" x14ac:dyDescent="0.15">
      <c r="A6">
        <v>2018</v>
      </c>
      <c r="B6" s="39">
        <v>1.9E-2</v>
      </c>
    </row>
    <row r="7" spans="1:2" x14ac:dyDescent="0.15">
      <c r="A7">
        <v>2019</v>
      </c>
      <c r="B7" s="39">
        <v>2.1000000000000001E-2</v>
      </c>
    </row>
    <row r="8" spans="1:2" x14ac:dyDescent="0.15">
      <c r="A8">
        <v>2020</v>
      </c>
      <c r="B8" s="39">
        <v>2.1000000000000001E-2</v>
      </c>
    </row>
    <row r="9" spans="1:2" x14ac:dyDescent="0.15">
      <c r="A9">
        <v>2021</v>
      </c>
      <c r="B9" s="39">
        <v>2.1000000000000001E-2</v>
      </c>
    </row>
    <row r="10" spans="1:2" x14ac:dyDescent="0.15">
      <c r="A10">
        <v>2022</v>
      </c>
      <c r="B10" s="39">
        <v>2.1000000000000001E-2</v>
      </c>
    </row>
  </sheetData>
  <phoneticPr fontId="2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FAA4-9C99-4706-88F3-7E769CEA0A75}">
  <dimension ref="A1:H56"/>
  <sheetViews>
    <sheetView topLeftCell="A24" zoomScale="140" zoomScaleNormal="140" workbookViewId="0">
      <selection activeCell="H44" sqref="H44"/>
    </sheetView>
  </sheetViews>
  <sheetFormatPr defaultColWidth="8.8984375" defaultRowHeight="12.75" x14ac:dyDescent="0.15"/>
  <cols>
    <col min="1" max="1" width="19.28125" bestFit="1" customWidth="1"/>
    <col min="2" max="2" width="6.7421875" customWidth="1"/>
    <col min="3" max="3" width="6.875" customWidth="1"/>
    <col min="4" max="4" width="10.24609375" customWidth="1"/>
    <col min="5" max="5" width="19.28125" bestFit="1" customWidth="1"/>
    <col min="6" max="6" width="6.7421875" bestFit="1" customWidth="1"/>
    <col min="7" max="7" width="7.28125" customWidth="1"/>
    <col min="8" max="8" width="10.24609375" customWidth="1"/>
  </cols>
  <sheetData>
    <row r="1" spans="1:8" ht="21" thickBot="1" x14ac:dyDescent="0.3">
      <c r="D1" s="30"/>
      <c r="E1" s="31" t="s">
        <v>56</v>
      </c>
    </row>
    <row r="2" spans="1:8" x14ac:dyDescent="0.15">
      <c r="A2" s="9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1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1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1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5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5">
        <v>2.06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2.06</v>
      </c>
      <c r="C11" s="15"/>
      <c r="D11" s="15"/>
      <c r="E11" s="15" t="s">
        <v>49</v>
      </c>
      <c r="F11" s="17">
        <v>5.61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v>5.61</v>
      </c>
      <c r="G12" s="15"/>
      <c r="H12" s="19"/>
    </row>
    <row r="13" spans="1:8" x14ac:dyDescent="0.15">
      <c r="A13" s="18" t="s">
        <v>53</v>
      </c>
      <c r="B13" s="17">
        <v>1.37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/>
      <c r="F14" s="17"/>
      <c r="G14" s="15"/>
      <c r="H14" s="19"/>
    </row>
    <row r="15" spans="1:8" x14ac:dyDescent="0.15">
      <c r="A15" s="18" t="s">
        <v>1</v>
      </c>
      <c r="B15" s="17">
        <v>31.48</v>
      </c>
      <c r="C15" s="15"/>
      <c r="D15" s="15"/>
      <c r="E15" s="15" t="s">
        <v>69</v>
      </c>
      <c r="F15" s="17">
        <v>3.23</v>
      </c>
      <c r="G15" s="15"/>
      <c r="H15" s="19"/>
    </row>
    <row r="16" spans="1:8" x14ac:dyDescent="0.15">
      <c r="A16" s="18" t="s">
        <v>2</v>
      </c>
      <c r="B16" s="17">
        <v>20.99</v>
      </c>
      <c r="C16" s="15"/>
      <c r="D16" s="15"/>
      <c r="E16" s="15" t="s">
        <v>24</v>
      </c>
      <c r="F16" s="17">
        <v>4.68</v>
      </c>
      <c r="G16" s="15"/>
      <c r="H16" s="19"/>
    </row>
    <row r="17" spans="1:8" x14ac:dyDescent="0.15">
      <c r="A17" s="18" t="s">
        <v>3</v>
      </c>
      <c r="B17" s="17">
        <v>15.57</v>
      </c>
      <c r="C17" s="15"/>
      <c r="D17" s="15"/>
      <c r="E17" s="15" t="s">
        <v>54</v>
      </c>
      <c r="F17" s="17">
        <v>4.7699999999999996</v>
      </c>
      <c r="G17" s="15"/>
      <c r="H17" s="19"/>
    </row>
    <row r="18" spans="1:8" x14ac:dyDescent="0.15">
      <c r="A18" s="18" t="s">
        <v>52</v>
      </c>
      <c r="B18" s="17">
        <v>10.49</v>
      </c>
      <c r="C18" s="15"/>
      <c r="D18" s="15"/>
      <c r="E18" s="15" t="s">
        <v>55</v>
      </c>
      <c r="F18" s="17">
        <v>0.87</v>
      </c>
      <c r="G18" s="15"/>
      <c r="H18" s="19"/>
    </row>
    <row r="19" spans="1:8" x14ac:dyDescent="0.15">
      <c r="A19" s="18" t="s">
        <v>4</v>
      </c>
      <c r="B19" s="17">
        <v>5.24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v>3.49</v>
      </c>
      <c r="G20" s="15"/>
      <c r="H20" s="19"/>
    </row>
    <row r="21" spans="1:8" x14ac:dyDescent="0.15">
      <c r="A21" s="18" t="s">
        <v>5</v>
      </c>
      <c r="B21" s="17">
        <v>18.43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v>11.55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v>7.81</v>
      </c>
      <c r="C23" s="15"/>
      <c r="D23" s="15"/>
      <c r="E23" s="15" t="s">
        <v>26</v>
      </c>
      <c r="F23" s="17">
        <v>3.08</v>
      </c>
      <c r="G23" s="15"/>
      <c r="H23" s="19"/>
    </row>
    <row r="24" spans="1:8" x14ac:dyDescent="0.15">
      <c r="A24" s="18"/>
      <c r="B24" s="15"/>
      <c r="C24" s="15"/>
      <c r="D24" s="15"/>
      <c r="E24" s="15" t="s">
        <v>27</v>
      </c>
      <c r="F24" s="17">
        <v>3.08</v>
      </c>
      <c r="G24" s="15"/>
      <c r="H24" s="19"/>
    </row>
    <row r="25" spans="1:8" x14ac:dyDescent="0.15">
      <c r="A25" s="18" t="s">
        <v>8</v>
      </c>
      <c r="B25" s="17">
        <v>4.68</v>
      </c>
      <c r="C25" s="15"/>
      <c r="D25" s="15"/>
      <c r="E25" s="15" t="s">
        <v>28</v>
      </c>
      <c r="F25" s="17">
        <v>3.08</v>
      </c>
      <c r="G25" s="15"/>
      <c r="H25" s="19"/>
    </row>
    <row r="26" spans="1:8" x14ac:dyDescent="0.15">
      <c r="A26" s="18" t="s">
        <v>9</v>
      </c>
      <c r="B26" s="17">
        <v>4.68</v>
      </c>
      <c r="C26" s="15"/>
      <c r="D26" s="15"/>
      <c r="E26" s="15" t="s">
        <v>29</v>
      </c>
      <c r="F26" s="17">
        <v>3.08</v>
      </c>
      <c r="G26" s="15"/>
      <c r="H26" s="19"/>
    </row>
    <row r="27" spans="1:8" x14ac:dyDescent="0.15">
      <c r="A27" s="18" t="s">
        <v>10</v>
      </c>
      <c r="B27" s="17">
        <v>4.68</v>
      </c>
      <c r="C27" s="15"/>
      <c r="D27" s="15"/>
      <c r="E27" s="15" t="s">
        <v>30</v>
      </c>
      <c r="F27" s="17">
        <v>3.08</v>
      </c>
      <c r="G27" s="15"/>
      <c r="H27" s="19"/>
    </row>
    <row r="28" spans="1:8" x14ac:dyDescent="0.15">
      <c r="A28" s="18" t="s">
        <v>11</v>
      </c>
      <c r="B28" s="17">
        <v>4.68</v>
      </c>
      <c r="C28" s="15"/>
      <c r="D28" s="15"/>
      <c r="E28" s="15" t="s">
        <v>31</v>
      </c>
      <c r="F28" s="17">
        <v>3.08</v>
      </c>
      <c r="G28" s="15"/>
      <c r="H28" s="19"/>
    </row>
    <row r="29" spans="1:8" x14ac:dyDescent="0.15">
      <c r="A29" s="18" t="s">
        <v>12</v>
      </c>
      <c r="B29" s="17">
        <v>4.68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5"/>
      <c r="C30" s="15"/>
      <c r="D30" s="15"/>
      <c r="E30" s="37" t="s">
        <v>66</v>
      </c>
      <c r="F30" s="17">
        <v>2.2000000000000002</v>
      </c>
      <c r="G30" s="15"/>
      <c r="H30" s="19"/>
    </row>
    <row r="31" spans="1:8" x14ac:dyDescent="0.15">
      <c r="A31" s="18" t="s">
        <v>13</v>
      </c>
      <c r="B31" s="17">
        <v>9.52</v>
      </c>
      <c r="C31" s="15"/>
      <c r="D31" s="15"/>
      <c r="E31" s="37" t="s">
        <v>67</v>
      </c>
      <c r="F31" s="17">
        <v>5.28</v>
      </c>
      <c r="G31" s="15"/>
      <c r="H31" s="19"/>
    </row>
    <row r="32" spans="1:8" x14ac:dyDescent="0.15">
      <c r="A32" s="18" t="s">
        <v>14</v>
      </c>
      <c r="B32" s="17">
        <v>5.44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v>2.72</v>
      </c>
      <c r="C33" s="15"/>
      <c r="D33" s="15"/>
      <c r="E33" s="15"/>
      <c r="F33" s="17"/>
      <c r="G33" s="15"/>
      <c r="H33" s="19"/>
    </row>
    <row r="34" spans="1:8" x14ac:dyDescent="0.15">
      <c r="A34" s="18" t="s">
        <v>16</v>
      </c>
      <c r="B34" s="17">
        <v>2.72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v>2.72</v>
      </c>
      <c r="C35" s="15"/>
      <c r="D35" s="15"/>
      <c r="E35" s="15" t="s">
        <v>32</v>
      </c>
      <c r="F35" s="17">
        <v>0</v>
      </c>
      <c r="G35" s="15"/>
      <c r="H35" s="19"/>
    </row>
    <row r="36" spans="1:8" x14ac:dyDescent="0.15">
      <c r="A36" s="18" t="s">
        <v>18</v>
      </c>
      <c r="B36" s="17">
        <v>2.72</v>
      </c>
      <c r="C36" s="15"/>
      <c r="D36" s="15"/>
      <c r="E36" s="15" t="s">
        <v>47</v>
      </c>
      <c r="F36" s="17">
        <v>7.98</v>
      </c>
      <c r="G36" s="15"/>
      <c r="H36" s="19"/>
    </row>
    <row r="37" spans="1:8" x14ac:dyDescent="0.15">
      <c r="A37" s="18" t="s">
        <v>19</v>
      </c>
      <c r="B37" s="17">
        <v>2.72</v>
      </c>
      <c r="C37" s="15"/>
      <c r="D37" s="15"/>
      <c r="E37" s="15"/>
      <c r="F37" s="15"/>
      <c r="G37" s="15"/>
      <c r="H37" s="19"/>
    </row>
    <row r="38" spans="1:8" x14ac:dyDescent="0.15">
      <c r="A38" s="18"/>
      <c r="B38" s="15"/>
      <c r="C38" s="15"/>
      <c r="D38" s="15"/>
      <c r="E38" s="15"/>
      <c r="F38" s="17"/>
      <c r="G38" s="15"/>
      <c r="H38" s="19"/>
    </row>
    <row r="39" spans="1:8" x14ac:dyDescent="0.15">
      <c r="A39" s="18"/>
      <c r="B39" s="17"/>
      <c r="C39" s="15"/>
      <c r="D39" s="15"/>
      <c r="E39" s="15"/>
      <c r="F39" s="17"/>
      <c r="G39" s="15"/>
      <c r="H39" s="19"/>
    </row>
    <row r="40" spans="1:8" ht="13.5" thickBot="1" x14ac:dyDescent="0.2">
      <c r="A40" s="18"/>
      <c r="B40" s="17"/>
      <c r="C40" s="15"/>
      <c r="D40" s="15"/>
      <c r="E40" s="33"/>
      <c r="F40" s="34"/>
      <c r="G40" s="33"/>
      <c r="H40" s="35"/>
    </row>
    <row r="41" spans="1:8" x14ac:dyDescent="0.15">
      <c r="A41" s="18" t="s">
        <v>68</v>
      </c>
      <c r="B41" s="17">
        <v>6.33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v>7.92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v>2.66</v>
      </c>
      <c r="G43" s="15"/>
      <c r="H43" s="19"/>
    </row>
    <row r="44" spans="1:8" x14ac:dyDescent="0.15">
      <c r="A44" s="18" t="s">
        <v>59</v>
      </c>
      <c r="B44" s="17">
        <v>4.25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v>8.5</v>
      </c>
      <c r="C45" s="15"/>
      <c r="D45" s="12"/>
      <c r="E45" s="18" t="s">
        <v>58</v>
      </c>
      <c r="F45" s="15">
        <v>55.26</v>
      </c>
      <c r="G45" s="15"/>
      <c r="H45" s="19"/>
    </row>
    <row r="46" spans="1:8" x14ac:dyDescent="0.15">
      <c r="A46" s="18" t="s">
        <v>61</v>
      </c>
      <c r="B46" s="17">
        <v>12.75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v>17</v>
      </c>
      <c r="C47" s="15"/>
      <c r="D47" s="12"/>
      <c r="E47" s="18" t="s">
        <v>36</v>
      </c>
      <c r="F47" s="17">
        <v>1.63</v>
      </c>
      <c r="G47" s="15"/>
      <c r="H47" s="19"/>
    </row>
    <row r="48" spans="1:8" x14ac:dyDescent="0.15">
      <c r="A48" s="18" t="s">
        <v>63</v>
      </c>
      <c r="B48" s="17">
        <v>21.25</v>
      </c>
      <c r="C48" s="15"/>
      <c r="D48" s="12"/>
      <c r="E48" s="18" t="s">
        <v>37</v>
      </c>
      <c r="F48" s="17"/>
      <c r="G48" s="15"/>
      <c r="H48" s="19"/>
    </row>
    <row r="49" spans="1:8" x14ac:dyDescent="0.15">
      <c r="A49" s="18" t="s">
        <v>64</v>
      </c>
      <c r="B49" s="17">
        <v>25.5</v>
      </c>
      <c r="C49" s="15"/>
      <c r="D49" s="12"/>
      <c r="E49" s="18" t="s">
        <v>38</v>
      </c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 t="s">
        <v>65</v>
      </c>
      <c r="B51" s="17">
        <v>13.2</v>
      </c>
      <c r="C51" s="15"/>
      <c r="D51" s="12"/>
      <c r="E51" s="18"/>
      <c r="F51" s="17"/>
      <c r="G51" s="15"/>
      <c r="H51" s="19"/>
    </row>
    <row r="52" spans="1:8" x14ac:dyDescent="0.15">
      <c r="A52" s="18"/>
      <c r="B52" s="17"/>
      <c r="C52" s="15"/>
      <c r="D52" s="12"/>
      <c r="E52" s="18"/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/>
      <c r="F53" s="27"/>
      <c r="G53" s="28"/>
      <c r="H53" s="29"/>
    </row>
    <row r="54" spans="1:8" x14ac:dyDescent="0.15">
      <c r="B54" s="1"/>
      <c r="F54" s="1"/>
    </row>
    <row r="55" spans="1:8" x14ac:dyDescent="0.15">
      <c r="B55" s="1"/>
      <c r="F55" s="1"/>
    </row>
    <row r="56" spans="1:8" x14ac:dyDescent="0.15">
      <c r="B56" s="1"/>
      <c r="F56" s="1"/>
    </row>
  </sheetData>
  <phoneticPr fontId="2" type="noConversion"/>
  <pageMargins left="0.75" right="0.75" top="1" bottom="1" header="0.5" footer="0.5"/>
  <pageSetup paperSize="9" orientation="portrait" horizontalDpi="4294967293"/>
  <headerFooter alignWithMargins="0">
    <oddHeader>&amp;C&amp;"Arial,fed\&amp;18HAKI</oddHeader>
    <oddFooter>&amp;L&amp;F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8F7F-CD05-47CE-9824-9118FEFD1FF2}">
  <dimension ref="A1:H53"/>
  <sheetViews>
    <sheetView workbookViewId="0">
      <selection sqref="A1:H53"/>
    </sheetView>
  </sheetViews>
  <sheetFormatPr defaultColWidth="8.8984375" defaultRowHeight="12.75" x14ac:dyDescent="0.15"/>
  <cols>
    <col min="1" max="1" width="14.6953125" customWidth="1"/>
    <col min="2" max="2" width="6.47265625" customWidth="1"/>
    <col min="3" max="4" width="8.8984375" customWidth="1"/>
    <col min="5" max="5" width="17.6640625" customWidth="1"/>
    <col min="6" max="6" width="6.7421875" customWidth="1"/>
  </cols>
  <sheetData>
    <row r="1" spans="1:8" ht="21" thickBot="1" x14ac:dyDescent="0.3">
      <c r="D1" s="30"/>
      <c r="E1" s="31" t="s">
        <v>56</v>
      </c>
    </row>
    <row r="2" spans="1:8" x14ac:dyDescent="0.15">
      <c r="A2" s="9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1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1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1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5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f>('2014'!B10*Faktor!$B$3)+'2014'!B10</f>
        <v>2.0888400000000003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f>('2014'!B11*Faktor!$B$3)+'2014'!B11</f>
        <v>2.0888400000000003</v>
      </c>
      <c r="C11" s="15"/>
      <c r="D11" s="15"/>
      <c r="E11" s="15" t="s">
        <v>49</v>
      </c>
      <c r="F11" s="17">
        <f>('2014'!F11*Faktor!$B$3)+'2014'!F11</f>
        <v>5.6885400000000006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f>('2014'!F12*Faktor!$B$3)+'2014'!F12</f>
        <v>5.6885400000000006</v>
      </c>
      <c r="G12" s="15"/>
      <c r="H12" s="19"/>
    </row>
    <row r="13" spans="1:8" x14ac:dyDescent="0.15">
      <c r="A13" s="18" t="s">
        <v>53</v>
      </c>
      <c r="B13" s="17">
        <f>('2014'!B13*Faktor!$B$3)+'2014'!B13</f>
        <v>1.3891800000000001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/>
      <c r="F14" s="17"/>
      <c r="G14" s="15"/>
      <c r="H14" s="19"/>
    </row>
    <row r="15" spans="1:8" x14ac:dyDescent="0.15">
      <c r="A15" s="18" t="s">
        <v>1</v>
      </c>
      <c r="B15" s="17">
        <f>('2014'!B15*Faktor!$B$3)+'2014'!B15</f>
        <v>31.920719999999999</v>
      </c>
      <c r="C15" s="15"/>
      <c r="D15" s="15"/>
      <c r="E15" s="15" t="s">
        <v>69</v>
      </c>
      <c r="F15" s="17">
        <f>('2014'!F15*Faktor!$B$3)+'2014'!F15</f>
        <v>3.27522</v>
      </c>
      <c r="G15" s="15"/>
      <c r="H15" s="19"/>
    </row>
    <row r="16" spans="1:8" x14ac:dyDescent="0.15">
      <c r="A16" s="18" t="s">
        <v>2</v>
      </c>
      <c r="B16" s="17">
        <f>('2014'!B16*Faktor!$B$3)+'2014'!B16</f>
        <v>21.283859999999997</v>
      </c>
      <c r="C16" s="15"/>
      <c r="D16" s="15"/>
      <c r="E16" s="15" t="s">
        <v>24</v>
      </c>
      <c r="F16" s="17">
        <f>('2014'!F16*Faktor!$B$3)+'2014'!F16</f>
        <v>4.74552</v>
      </c>
      <c r="G16" s="15"/>
      <c r="H16" s="19"/>
    </row>
    <row r="17" spans="1:8" x14ac:dyDescent="0.15">
      <c r="A17" s="18" t="s">
        <v>3</v>
      </c>
      <c r="B17" s="17">
        <f>('2014'!B17*Faktor!$B$3)+'2014'!B17</f>
        <v>15.787980000000001</v>
      </c>
      <c r="C17" s="15"/>
      <c r="D17" s="15"/>
      <c r="E17" s="15" t="s">
        <v>54</v>
      </c>
      <c r="F17" s="17">
        <f>('2014'!F17*Faktor!$B$3)+'2014'!F17</f>
        <v>4.8367799999999992</v>
      </c>
      <c r="G17" s="15"/>
      <c r="H17" s="19"/>
    </row>
    <row r="18" spans="1:8" x14ac:dyDescent="0.15">
      <c r="A18" s="18" t="s">
        <v>52</v>
      </c>
      <c r="B18" s="17">
        <f>('2014'!B18*Faktor!$B$3)+'2014'!B18</f>
        <v>10.63686</v>
      </c>
      <c r="C18" s="15"/>
      <c r="D18" s="15"/>
      <c r="E18" s="15" t="s">
        <v>55</v>
      </c>
      <c r="F18" s="17">
        <f>('2014'!F18*Faktor!$B$3)+'2014'!F18</f>
        <v>0.88217999999999996</v>
      </c>
      <c r="G18" s="15"/>
      <c r="H18" s="19"/>
    </row>
    <row r="19" spans="1:8" x14ac:dyDescent="0.15">
      <c r="A19" s="18" t="s">
        <v>4</v>
      </c>
      <c r="B19" s="17">
        <f>('2014'!B19*Faktor!$B$3)+'2014'!B19</f>
        <v>5.3133600000000003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f>('2014'!F20*Faktor!$B$3)+'2014'!F20</f>
        <v>3.5388600000000001</v>
      </c>
      <c r="G20" s="15"/>
      <c r="H20" s="19"/>
    </row>
    <row r="21" spans="1:8" x14ac:dyDescent="0.15">
      <c r="A21" s="18" t="s">
        <v>5</v>
      </c>
      <c r="B21" s="17">
        <f>('2014'!B21*Faktor!$B$3)+'2014'!B21</f>
        <v>18.688019999999998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f>('2014'!B22*Faktor!$B$3)+'2014'!B22</f>
        <v>11.7117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f>('2014'!B23*Faktor!$B$3)+'2014'!B23</f>
        <v>7.91934</v>
      </c>
      <c r="C23" s="15"/>
      <c r="D23" s="15"/>
      <c r="E23" s="15" t="s">
        <v>26</v>
      </c>
      <c r="F23" s="17">
        <f>('2014'!F23*Faktor!$B$3)+'2014'!F23</f>
        <v>3.1231200000000001</v>
      </c>
      <c r="G23" s="15"/>
      <c r="H23" s="19"/>
    </row>
    <row r="24" spans="1:8" x14ac:dyDescent="0.15">
      <c r="A24" s="18"/>
      <c r="B24" s="17"/>
      <c r="C24" s="15"/>
      <c r="D24" s="15"/>
      <c r="E24" s="15" t="s">
        <v>27</v>
      </c>
      <c r="F24" s="17">
        <f>('2014'!F24*Faktor!$B$3)+'2014'!F24</f>
        <v>3.1231200000000001</v>
      </c>
      <c r="G24" s="15"/>
      <c r="H24" s="19"/>
    </row>
    <row r="25" spans="1:8" x14ac:dyDescent="0.15">
      <c r="A25" s="18" t="s">
        <v>8</v>
      </c>
      <c r="B25" s="17">
        <f>('2014'!B25*Faktor!$B$3)+'2014'!B25</f>
        <v>4.74552</v>
      </c>
      <c r="C25" s="15"/>
      <c r="D25" s="15"/>
      <c r="E25" s="15" t="s">
        <v>28</v>
      </c>
      <c r="F25" s="17">
        <f>('2014'!F25*Faktor!$B$3)+'2014'!F25</f>
        <v>3.1231200000000001</v>
      </c>
      <c r="G25" s="15"/>
      <c r="H25" s="19"/>
    </row>
    <row r="26" spans="1:8" x14ac:dyDescent="0.15">
      <c r="A26" s="18" t="s">
        <v>9</v>
      </c>
      <c r="B26" s="17">
        <f>('2014'!B26*Faktor!$B$3)+'2014'!B26</f>
        <v>4.74552</v>
      </c>
      <c r="C26" s="15"/>
      <c r="D26" s="15"/>
      <c r="E26" s="15" t="s">
        <v>29</v>
      </c>
      <c r="F26" s="17">
        <f>('2014'!F26*Faktor!$B$3)+'2014'!F26</f>
        <v>3.1231200000000001</v>
      </c>
      <c r="G26" s="15"/>
      <c r="H26" s="19"/>
    </row>
    <row r="27" spans="1:8" x14ac:dyDescent="0.15">
      <c r="A27" s="18" t="s">
        <v>10</v>
      </c>
      <c r="B27" s="17">
        <f>('2014'!B27*Faktor!$B$3)+'2014'!B27</f>
        <v>4.74552</v>
      </c>
      <c r="C27" s="15"/>
      <c r="D27" s="15"/>
      <c r="E27" s="15" t="s">
        <v>30</v>
      </c>
      <c r="F27" s="17">
        <f>('2014'!F27*Faktor!$B$3)+'2014'!F27</f>
        <v>3.1231200000000001</v>
      </c>
      <c r="G27" s="15"/>
      <c r="H27" s="19"/>
    </row>
    <row r="28" spans="1:8" x14ac:dyDescent="0.15">
      <c r="A28" s="18" t="s">
        <v>11</v>
      </c>
      <c r="B28" s="17">
        <f>('2014'!B28*Faktor!$B$3)+'2014'!B28</f>
        <v>4.74552</v>
      </c>
      <c r="C28" s="15"/>
      <c r="D28" s="15"/>
      <c r="E28" s="15" t="s">
        <v>31</v>
      </c>
      <c r="F28" s="17">
        <f>('2014'!F28*Faktor!$B$3)+'2014'!F28</f>
        <v>3.1231200000000001</v>
      </c>
      <c r="G28" s="15"/>
      <c r="H28" s="19"/>
    </row>
    <row r="29" spans="1:8" x14ac:dyDescent="0.15">
      <c r="A29" s="18" t="s">
        <v>12</v>
      </c>
      <c r="B29" s="17">
        <f>('2014'!B29*Faktor!$B$3)+'2014'!B29</f>
        <v>4.74552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('2014'!F30*Faktor!$B$3)+'2014'!F30</f>
        <v>2.2308000000000003</v>
      </c>
      <c r="G30" s="15"/>
      <c r="H30" s="19"/>
    </row>
    <row r="31" spans="1:8" x14ac:dyDescent="0.15">
      <c r="A31" s="18" t="s">
        <v>13</v>
      </c>
      <c r="B31" s="17">
        <f>('2014'!B31*Faktor!$B$3)+'2014'!B31</f>
        <v>9.6532799999999988</v>
      </c>
      <c r="C31" s="15"/>
      <c r="D31" s="15"/>
      <c r="E31" s="37" t="s">
        <v>67</v>
      </c>
      <c r="F31" s="17">
        <f>('2014'!F31*Faktor!$B$3)+'2014'!F31</f>
        <v>5.3539200000000005</v>
      </c>
      <c r="G31" s="15"/>
      <c r="H31" s="19"/>
    </row>
    <row r="32" spans="1:8" x14ac:dyDescent="0.15">
      <c r="A32" s="18" t="s">
        <v>14</v>
      </c>
      <c r="B32" s="17">
        <f>('2014'!B32*Faktor!$B$3)+'2014'!B32</f>
        <v>5.5161600000000002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('2014'!B33*Faktor!$B$3)+'2014'!B33</f>
        <v>2.7580800000000001</v>
      </c>
      <c r="C33" s="15"/>
      <c r="D33" s="15"/>
      <c r="E33" s="15"/>
      <c r="F33" s="17"/>
      <c r="G33" s="15"/>
      <c r="H33" s="19"/>
    </row>
    <row r="34" spans="1:8" x14ac:dyDescent="0.15">
      <c r="A34" s="18" t="s">
        <v>16</v>
      </c>
      <c r="B34" s="17">
        <f>('2014'!B34*Faktor!$B$3)+'2014'!B34</f>
        <v>2.7580800000000001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('2014'!B35*Faktor!$B$3)+'2014'!B35</f>
        <v>2.7580800000000001</v>
      </c>
      <c r="C35" s="15"/>
      <c r="D35" s="15"/>
      <c r="E35" s="15" t="s">
        <v>32</v>
      </c>
      <c r="F35" s="17">
        <f>('2014'!F35*Faktor!$B$3)+'2014'!F35</f>
        <v>0</v>
      </c>
      <c r="G35" s="15"/>
      <c r="H35" s="19"/>
    </row>
    <row r="36" spans="1:8" x14ac:dyDescent="0.15">
      <c r="A36" s="18" t="s">
        <v>18</v>
      </c>
      <c r="B36" s="17">
        <f>('2014'!B36*Faktor!$B$3)+'2014'!B36</f>
        <v>2.7580800000000001</v>
      </c>
      <c r="C36" s="15"/>
      <c r="D36" s="15"/>
      <c r="E36" s="15" t="s">
        <v>47</v>
      </c>
      <c r="F36" s="17">
        <f>'2014'!F36</f>
        <v>7.98</v>
      </c>
      <c r="G36" s="15"/>
      <c r="H36" s="19"/>
    </row>
    <row r="37" spans="1:8" x14ac:dyDescent="0.15">
      <c r="A37" s="18" t="s">
        <v>19</v>
      </c>
      <c r="B37" s="17">
        <f>('2014'!B37*Faktor!$B$3)+'2014'!B37</f>
        <v>2.7580800000000001</v>
      </c>
      <c r="C37" s="15"/>
      <c r="D37" s="15"/>
      <c r="E37" s="15"/>
      <c r="F37" s="17"/>
      <c r="G37" s="15"/>
      <c r="H37" s="19"/>
    </row>
    <row r="38" spans="1:8" x14ac:dyDescent="0.15">
      <c r="A38" s="18"/>
      <c r="B38" s="17"/>
      <c r="C38" s="15"/>
      <c r="D38" s="15"/>
      <c r="E38" s="15"/>
      <c r="F38" s="17"/>
      <c r="G38" s="15"/>
      <c r="H38" s="19"/>
    </row>
    <row r="39" spans="1:8" x14ac:dyDescent="0.15">
      <c r="A39" s="18"/>
      <c r="B39" s="17"/>
      <c r="C39" s="15"/>
      <c r="D39" s="15"/>
      <c r="E39" s="15"/>
      <c r="F39" s="17"/>
      <c r="G39" s="15"/>
      <c r="H39" s="19"/>
    </row>
    <row r="40" spans="1:8" ht="13.5" thickBot="1" x14ac:dyDescent="0.2">
      <c r="A40" s="18"/>
      <c r="B40" s="17"/>
      <c r="C40" s="15"/>
      <c r="D40" s="15"/>
      <c r="E40" s="33"/>
      <c r="F40" s="27"/>
      <c r="G40" s="33"/>
      <c r="H40" s="35"/>
    </row>
    <row r="41" spans="1:8" x14ac:dyDescent="0.15">
      <c r="A41" s="18" t="s">
        <v>68</v>
      </c>
      <c r="B41" s="17">
        <f>('2014'!B41*Faktor!$B$3)+'2014'!B41</f>
        <v>6.4186199999999998</v>
      </c>
      <c r="C41" s="15"/>
      <c r="D41" s="12"/>
      <c r="E41" s="23" t="s">
        <v>33</v>
      </c>
      <c r="F41" s="38"/>
      <c r="G41" s="24"/>
      <c r="H41" s="25"/>
    </row>
    <row r="42" spans="1:8" x14ac:dyDescent="0.15">
      <c r="A42" s="18" t="s">
        <v>51</v>
      </c>
      <c r="B42" s="17">
        <f>('2014'!B42*Faktor!$B$3)+'2014'!B42</f>
        <v>8.0308799999999998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('2014'!F43*Faktor!$B$3)+'2014'!F43</f>
        <v>2.6972400000000003</v>
      </c>
      <c r="G43" s="15"/>
      <c r="H43" s="19"/>
    </row>
    <row r="44" spans="1:8" x14ac:dyDescent="0.15">
      <c r="A44" s="18" t="s">
        <v>59</v>
      </c>
      <c r="B44" s="17">
        <f>('2014'!B44*Faktor!$B$3)+'2014'!B44</f>
        <v>4.3094999999999999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f>('2014'!B45*Faktor!$B$3)+'2014'!B45</f>
        <v>8.6189999999999998</v>
      </c>
      <c r="C45" s="15"/>
      <c r="D45" s="12"/>
      <c r="E45" s="18" t="s">
        <v>58</v>
      </c>
      <c r="F45" s="17">
        <f>('2014'!F45*Faktor!$B$3)+'2014'!F45</f>
        <v>56.033639999999998</v>
      </c>
      <c r="G45" s="15"/>
      <c r="H45" s="19"/>
    </row>
    <row r="46" spans="1:8" x14ac:dyDescent="0.15">
      <c r="A46" s="18" t="s">
        <v>61</v>
      </c>
      <c r="B46" s="17">
        <f>('2014'!B46*Faktor!$B$3)+'2014'!B46</f>
        <v>12.9285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f>('2014'!B47*Faktor!$B$3)+'2014'!B47</f>
        <v>17.238</v>
      </c>
      <c r="C47" s="15"/>
      <c r="D47" s="12"/>
      <c r="E47" s="18" t="s">
        <v>36</v>
      </c>
      <c r="F47" s="17">
        <f>('2014'!F47*Faktor!$B$3)+'2014'!F47</f>
        <v>1.65282</v>
      </c>
      <c r="G47" s="15"/>
      <c r="H47" s="19"/>
    </row>
    <row r="48" spans="1:8" x14ac:dyDescent="0.15">
      <c r="A48" s="18" t="s">
        <v>63</v>
      </c>
      <c r="B48" s="17">
        <f>('2014'!B48*Faktor!$B$3)+'2014'!B48</f>
        <v>21.547499999999999</v>
      </c>
      <c r="C48" s="15"/>
      <c r="D48" s="12"/>
      <c r="E48" s="18" t="s">
        <v>37</v>
      </c>
      <c r="F48" s="17"/>
      <c r="G48" s="15"/>
      <c r="H48" s="19"/>
    </row>
    <row r="49" spans="1:8" x14ac:dyDescent="0.15">
      <c r="A49" s="18" t="s">
        <v>64</v>
      </c>
      <c r="B49" s="17">
        <f>('2014'!B49*Faktor!$B$3)+'2014'!B49</f>
        <v>25.856999999999999</v>
      </c>
      <c r="C49" s="15"/>
      <c r="D49" s="12"/>
      <c r="E49" s="18" t="s">
        <v>38</v>
      </c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 t="s">
        <v>65</v>
      </c>
      <c r="B51" s="17">
        <f>('2014'!B51*Faktor!$B$3)+'2014'!B51</f>
        <v>13.384799999999998</v>
      </c>
      <c r="C51" s="15"/>
      <c r="D51" s="12"/>
      <c r="E51" s="18"/>
      <c r="F51" s="17"/>
      <c r="G51" s="15"/>
      <c r="H51" s="19"/>
    </row>
    <row r="52" spans="1:8" x14ac:dyDescent="0.15">
      <c r="A52" s="18"/>
      <c r="B52" s="17"/>
      <c r="C52" s="15"/>
      <c r="D52" s="12"/>
      <c r="E52" s="18"/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/>
      <c r="F53" s="27"/>
      <c r="G53" s="28"/>
      <c r="H53" s="29"/>
    </row>
  </sheetData>
  <phoneticPr fontId="2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ED4-4B85-4008-B56F-E8107387700D}">
  <dimension ref="A1:H53"/>
  <sheetViews>
    <sheetView workbookViewId="0">
      <selection sqref="A1:H53"/>
    </sheetView>
  </sheetViews>
  <sheetFormatPr defaultColWidth="8.8984375" defaultRowHeight="12.75" x14ac:dyDescent="0.15"/>
  <cols>
    <col min="1" max="1" width="19.28125" customWidth="1"/>
    <col min="2" max="2" width="6.7421875" customWidth="1"/>
    <col min="3" max="4" width="8.8984375" customWidth="1"/>
    <col min="5" max="5" width="16.71875" customWidth="1"/>
    <col min="6" max="6" width="7.14453125" customWidth="1"/>
  </cols>
  <sheetData>
    <row r="1" spans="1:8" ht="13.5" customHeight="1" thickBot="1" x14ac:dyDescent="0.3">
      <c r="A1" s="98" t="s">
        <v>71</v>
      </c>
      <c r="B1" s="98"/>
      <c r="C1" s="98"/>
      <c r="D1" s="98"/>
      <c r="E1" s="98"/>
      <c r="F1" s="98"/>
      <c r="G1" s="98"/>
      <c r="H1" s="98"/>
    </row>
    <row r="2" spans="1:8" x14ac:dyDescent="0.15">
      <c r="A2" s="9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1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1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1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5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f>('2015'!B10*Faktor!$B$4)+'2015'!B10</f>
        <v>2.1285279600000004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f>('2015'!B11*Faktor!$B$4)+'2015'!B11</f>
        <v>2.1285279600000004</v>
      </c>
      <c r="C11" s="15"/>
      <c r="D11" s="15"/>
      <c r="E11" s="15" t="s">
        <v>49</v>
      </c>
      <c r="F11" s="17">
        <f>('2015'!F11*Faktor!$B$4)+'2015'!F11</f>
        <v>5.7966222600000004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f>('2015'!F12*Faktor!$B$4)+'2015'!F12</f>
        <v>5.7966222600000004</v>
      </c>
      <c r="G12" s="15"/>
      <c r="H12" s="19"/>
    </row>
    <row r="13" spans="1:8" x14ac:dyDescent="0.15">
      <c r="A13" s="18" t="s">
        <v>53</v>
      </c>
      <c r="B13" s="17">
        <f>('2015'!B13*Faktor!$B$4)+'2015'!B13</f>
        <v>1.41557442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/>
      <c r="F14" s="17"/>
      <c r="G14" s="15"/>
      <c r="H14" s="19"/>
    </row>
    <row r="15" spans="1:8" x14ac:dyDescent="0.15">
      <c r="A15" s="18" t="s">
        <v>1</v>
      </c>
      <c r="B15" s="17">
        <f>('2015'!B15*Faktor!$B$4)+'2015'!B15</f>
        <v>32.527213680000003</v>
      </c>
      <c r="C15" s="15"/>
      <c r="D15" s="15"/>
      <c r="E15" s="15" t="s">
        <v>69</v>
      </c>
      <c r="F15" s="17">
        <f>('2015'!F15*Faktor!$B$4)+'2015'!F15</f>
        <v>3.3374491800000001</v>
      </c>
      <c r="G15" s="15"/>
      <c r="H15" s="19"/>
    </row>
    <row r="16" spans="1:8" x14ac:dyDescent="0.15">
      <c r="A16" s="18" t="s">
        <v>2</v>
      </c>
      <c r="B16" s="17">
        <f>('2015'!B16*Faktor!$B$4)+'2015'!B16</f>
        <v>21.688253339999996</v>
      </c>
      <c r="C16" s="15"/>
      <c r="D16" s="15"/>
      <c r="E16" s="15" t="s">
        <v>24</v>
      </c>
      <c r="F16" s="17">
        <f>('2015'!F16*Faktor!$B$4)+'2015'!F16</f>
        <v>4.8356848799999996</v>
      </c>
      <c r="G16" s="15"/>
      <c r="H16" s="19"/>
    </row>
    <row r="17" spans="1:8" x14ac:dyDescent="0.15">
      <c r="A17" s="18" t="s">
        <v>3</v>
      </c>
      <c r="B17" s="17">
        <f>('2015'!B17*Faktor!$B$4)+'2015'!B17</f>
        <v>16.087951620000002</v>
      </c>
      <c r="C17" s="15"/>
      <c r="D17" s="15"/>
      <c r="E17" s="15" t="s">
        <v>54</v>
      </c>
      <c r="F17" s="17">
        <f>('2015'!F17*Faktor!$B$4)+'2015'!F17</f>
        <v>4.9286788199999991</v>
      </c>
      <c r="G17" s="15"/>
      <c r="H17" s="19"/>
    </row>
    <row r="18" spans="1:8" x14ac:dyDescent="0.15">
      <c r="A18" s="18" t="s">
        <v>52</v>
      </c>
      <c r="B18" s="17">
        <f>('2015'!B18*Faktor!$B$4)+'2015'!B18</f>
        <v>10.83896034</v>
      </c>
      <c r="C18" s="15"/>
      <c r="D18" s="15"/>
      <c r="E18" s="15" t="s">
        <v>55</v>
      </c>
      <c r="F18" s="17">
        <f>('2015'!F18*Faktor!$B$4)+'2015'!F18</f>
        <v>0.89894141999999999</v>
      </c>
      <c r="G18" s="15"/>
      <c r="H18" s="19"/>
    </row>
    <row r="19" spans="1:8" x14ac:dyDescent="0.15">
      <c r="A19" s="18" t="s">
        <v>4</v>
      </c>
      <c r="B19" s="17">
        <f>('2015'!B19*Faktor!$B$4)+'2015'!B19</f>
        <v>5.4143138400000002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f>('2015'!F20*Faktor!$B$4)+'2015'!F20</f>
        <v>3.60609834</v>
      </c>
      <c r="G20" s="15"/>
      <c r="H20" s="19"/>
    </row>
    <row r="21" spans="1:8" x14ac:dyDescent="0.15">
      <c r="A21" s="18" t="s">
        <v>5</v>
      </c>
      <c r="B21" s="17">
        <f>('2015'!B21*Faktor!$B$4)+'2015'!B21</f>
        <v>19.043092379999997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f>('2015'!B22*Faktor!$B$4)+'2015'!B22</f>
        <v>11.9342223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f>('2015'!B23*Faktor!$B$4)+'2015'!B23</f>
        <v>8.0698074599999998</v>
      </c>
      <c r="C23" s="15"/>
      <c r="D23" s="15"/>
      <c r="E23" s="15" t="s">
        <v>26</v>
      </c>
      <c r="F23" s="17">
        <f>('2015'!F23*Faktor!$B$4)+'2015'!F23</f>
        <v>3.1824592800000002</v>
      </c>
      <c r="G23" s="15"/>
      <c r="H23" s="19"/>
    </row>
    <row r="24" spans="1:8" x14ac:dyDescent="0.15">
      <c r="A24" s="18" t="s">
        <v>72</v>
      </c>
      <c r="B24" s="17">
        <v>8.07</v>
      </c>
      <c r="C24" s="15"/>
      <c r="D24" s="15"/>
      <c r="E24" s="15" t="s">
        <v>27</v>
      </c>
      <c r="F24" s="17">
        <f>('2015'!F24*Faktor!$B$4)+'2015'!F24</f>
        <v>3.1824592800000002</v>
      </c>
      <c r="G24" s="15"/>
      <c r="H24" s="19"/>
    </row>
    <row r="25" spans="1:8" x14ac:dyDescent="0.15">
      <c r="A25" s="18" t="s">
        <v>8</v>
      </c>
      <c r="B25" s="17">
        <f>('2015'!B25*Faktor!$B$4)+'2015'!B25</f>
        <v>4.8356848799999996</v>
      </c>
      <c r="C25" s="15"/>
      <c r="D25" s="15"/>
      <c r="E25" s="15" t="s">
        <v>28</v>
      </c>
      <c r="F25" s="17">
        <f>('2015'!F25*Faktor!$B$4)+'2015'!F25</f>
        <v>3.1824592800000002</v>
      </c>
      <c r="G25" s="15"/>
      <c r="H25" s="19"/>
    </row>
    <row r="26" spans="1:8" x14ac:dyDescent="0.15">
      <c r="A26" s="18" t="s">
        <v>9</v>
      </c>
      <c r="B26" s="17">
        <f>('2015'!B26*Faktor!$B$4)+'2015'!B26</f>
        <v>4.8356848799999996</v>
      </c>
      <c r="C26" s="15"/>
      <c r="D26" s="15"/>
      <c r="E26" s="15" t="s">
        <v>29</v>
      </c>
      <c r="F26" s="17">
        <f>('2015'!F26*Faktor!$B$4)+'2015'!F26</f>
        <v>3.1824592800000002</v>
      </c>
      <c r="G26" s="15"/>
      <c r="H26" s="19"/>
    </row>
    <row r="27" spans="1:8" x14ac:dyDescent="0.15">
      <c r="A27" s="18" t="s">
        <v>10</v>
      </c>
      <c r="B27" s="17">
        <f>('2015'!B27*Faktor!$B$4)+'2015'!B27</f>
        <v>4.8356848799999996</v>
      </c>
      <c r="C27" s="15"/>
      <c r="D27" s="15"/>
      <c r="E27" s="15" t="s">
        <v>30</v>
      </c>
      <c r="F27" s="17">
        <f>('2015'!F27*Faktor!$B$4)+'2015'!F27</f>
        <v>3.1824592800000002</v>
      </c>
      <c r="G27" s="15"/>
      <c r="H27" s="19"/>
    </row>
    <row r="28" spans="1:8" x14ac:dyDescent="0.15">
      <c r="A28" s="18" t="s">
        <v>11</v>
      </c>
      <c r="B28" s="17">
        <f>('2015'!B28*Faktor!$B$4)+'2015'!B28</f>
        <v>4.8356848799999996</v>
      </c>
      <c r="C28" s="15"/>
      <c r="D28" s="15"/>
      <c r="E28" s="15" t="s">
        <v>31</v>
      </c>
      <c r="F28" s="17">
        <f>('2015'!F28*Faktor!$B$4)+'2015'!F28</f>
        <v>3.1824592800000002</v>
      </c>
      <c r="G28" s="15"/>
      <c r="H28" s="19"/>
    </row>
    <row r="29" spans="1:8" x14ac:dyDescent="0.15">
      <c r="A29" s="18" t="s">
        <v>12</v>
      </c>
      <c r="B29" s="17">
        <f>('2015'!B29*Faktor!$B$4)+'2015'!B29</f>
        <v>4.8356848799999996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('2015'!F30*Faktor!$B$4)+'2015'!F30</f>
        <v>2.2731852000000003</v>
      </c>
      <c r="G30" s="15"/>
      <c r="H30" s="19"/>
    </row>
    <row r="31" spans="1:8" x14ac:dyDescent="0.15">
      <c r="A31" s="18" t="s">
        <v>13</v>
      </c>
      <c r="B31" s="17">
        <f>('2015'!B31*Faktor!$B$4)+'2015'!B31</f>
        <v>9.8366923199999992</v>
      </c>
      <c r="C31" s="15"/>
      <c r="D31" s="15"/>
      <c r="E31" s="37" t="s">
        <v>67</v>
      </c>
      <c r="F31" s="17">
        <f>('2015'!F31*Faktor!$B$4)+'2015'!F31</f>
        <v>5.4556444800000001</v>
      </c>
      <c r="G31" s="15"/>
      <c r="H31" s="19"/>
    </row>
    <row r="32" spans="1:8" x14ac:dyDescent="0.15">
      <c r="A32" s="18" t="s">
        <v>14</v>
      </c>
      <c r="B32" s="17">
        <f>('2015'!B32*Faktor!$B$4)+'2015'!B32</f>
        <v>5.62096704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('2015'!B33*Faktor!$B$4)+'2015'!B33</f>
        <v>2.81048352</v>
      </c>
      <c r="C33" s="15"/>
      <c r="D33" s="15"/>
      <c r="E33" s="15"/>
      <c r="F33" s="17"/>
      <c r="G33" s="15"/>
      <c r="H33" s="19"/>
    </row>
    <row r="34" spans="1:8" x14ac:dyDescent="0.15">
      <c r="A34" s="18" t="s">
        <v>16</v>
      </c>
      <c r="B34" s="17">
        <f>('2015'!B34*Faktor!$B$4)+'2015'!B34</f>
        <v>2.81048352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('2015'!B35*Faktor!$B$4)+'2015'!B35</f>
        <v>2.81048352</v>
      </c>
      <c r="C35" s="15"/>
      <c r="D35" s="15"/>
      <c r="E35" s="15" t="s">
        <v>32</v>
      </c>
      <c r="F35" s="17"/>
      <c r="G35" s="15"/>
      <c r="H35" s="19"/>
    </row>
    <row r="36" spans="1:8" x14ac:dyDescent="0.15">
      <c r="A36" s="18" t="s">
        <v>18</v>
      </c>
      <c r="B36" s="17">
        <f>('2015'!B36*Faktor!$B$4)+'2015'!B36</f>
        <v>2.81048352</v>
      </c>
      <c r="C36" s="15"/>
      <c r="D36" s="15"/>
      <c r="E36" s="15" t="s">
        <v>47</v>
      </c>
      <c r="F36" s="17">
        <f>('2015'!F36*Faktor!$B$4)+'2015'!F36</f>
        <v>8.1316199999999998</v>
      </c>
      <c r="G36" s="15"/>
      <c r="H36" s="19"/>
    </row>
    <row r="37" spans="1:8" x14ac:dyDescent="0.15">
      <c r="A37" s="18" t="s">
        <v>19</v>
      </c>
      <c r="B37" s="17">
        <f>('2015'!B37*Faktor!$B$4)+'2015'!B37</f>
        <v>2.81048352</v>
      </c>
      <c r="C37" s="15"/>
      <c r="D37" s="15"/>
      <c r="E37" s="15"/>
      <c r="F37" s="17"/>
      <c r="G37" s="15"/>
      <c r="H37" s="19"/>
    </row>
    <row r="38" spans="1:8" x14ac:dyDescent="0.15">
      <c r="A38" s="18"/>
      <c r="B38" s="17"/>
      <c r="C38" s="15"/>
      <c r="D38" s="15"/>
      <c r="E38" s="15"/>
      <c r="F38" s="17"/>
      <c r="G38" s="15"/>
      <c r="H38" s="19"/>
    </row>
    <row r="39" spans="1:8" x14ac:dyDescent="0.15">
      <c r="A39" s="18"/>
      <c r="B39" s="17"/>
      <c r="C39" s="15"/>
      <c r="D39" s="15"/>
      <c r="E39" s="15"/>
      <c r="F39" s="17"/>
      <c r="G39" s="15"/>
      <c r="H39" s="19"/>
    </row>
    <row r="40" spans="1:8" ht="13.5" thickBot="1" x14ac:dyDescent="0.2">
      <c r="A40" s="18"/>
      <c r="B40" s="17"/>
      <c r="C40" s="15"/>
      <c r="D40" s="15"/>
      <c r="E40" s="33"/>
      <c r="F40" s="27"/>
      <c r="G40" s="33"/>
      <c r="H40" s="35"/>
    </row>
    <row r="41" spans="1:8" x14ac:dyDescent="0.15">
      <c r="A41" s="18" t="s">
        <v>68</v>
      </c>
      <c r="B41" s="17">
        <f>('2015'!B41*Faktor!$B$4)+'2015'!B41</f>
        <v>6.5405737799999999</v>
      </c>
      <c r="C41" s="15"/>
      <c r="D41" s="12"/>
      <c r="E41" s="23" t="s">
        <v>33</v>
      </c>
      <c r="F41" s="38"/>
      <c r="G41" s="24"/>
      <c r="H41" s="25"/>
    </row>
    <row r="42" spans="1:8" x14ac:dyDescent="0.15">
      <c r="A42" s="18" t="s">
        <v>51</v>
      </c>
      <c r="B42" s="17">
        <f>('2015'!B42*Faktor!$B$4)+'2015'!B42</f>
        <v>8.1834667200000002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('2015'!F43*Faktor!$B$4)+'2015'!F43</f>
        <v>2.7484875600000005</v>
      </c>
      <c r="G43" s="15"/>
      <c r="H43" s="19"/>
    </row>
    <row r="44" spans="1:8" x14ac:dyDescent="0.15">
      <c r="A44" s="18" t="s">
        <v>59</v>
      </c>
      <c r="B44" s="17">
        <f>('2015'!B44*Faktor!$B$4)+'2015'!B44</f>
        <v>4.3913804999999995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f>('2015'!B45*Faktor!$B$4)+'2015'!B45</f>
        <v>8.7827609999999989</v>
      </c>
      <c r="C45" s="15"/>
      <c r="D45" s="12"/>
      <c r="E45" s="18" t="s">
        <v>58</v>
      </c>
      <c r="F45" s="17">
        <f>('2015'!F45*Faktor!$B$4)+'2015'!F45</f>
        <v>57.098279159999997</v>
      </c>
      <c r="G45" s="15"/>
      <c r="H45" s="19"/>
    </row>
    <row r="46" spans="1:8" x14ac:dyDescent="0.15">
      <c r="A46" s="18" t="s">
        <v>61</v>
      </c>
      <c r="B46" s="17">
        <f>('2015'!B46*Faktor!$B$4)+'2015'!B46</f>
        <v>13.174141499999999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f>('2015'!B47*Faktor!$B$4)+'2015'!B47</f>
        <v>17.565521999999998</v>
      </c>
      <c r="C47" s="15"/>
      <c r="D47" s="12"/>
      <c r="E47" s="18" t="s">
        <v>36</v>
      </c>
      <c r="F47" s="17">
        <f>('2015'!F47*Faktor!$B$4)+'2015'!F47</f>
        <v>1.6842235800000001</v>
      </c>
      <c r="G47" s="15"/>
      <c r="H47" s="19"/>
    </row>
    <row r="48" spans="1:8" x14ac:dyDescent="0.15">
      <c r="A48" s="18" t="s">
        <v>63</v>
      </c>
      <c r="B48" s="17">
        <f>('2015'!B48*Faktor!$B$4)+'2015'!B48</f>
        <v>21.956902499999998</v>
      </c>
      <c r="C48" s="15"/>
      <c r="D48" s="12"/>
      <c r="E48" s="18" t="s">
        <v>37</v>
      </c>
      <c r="F48" s="17"/>
      <c r="G48" s="15"/>
      <c r="H48" s="19"/>
    </row>
    <row r="49" spans="1:8" x14ac:dyDescent="0.15">
      <c r="A49" s="18" t="s">
        <v>64</v>
      </c>
      <c r="B49" s="17">
        <f>('2015'!B49*Faktor!$B$4)+'2015'!B49</f>
        <v>26.348282999999999</v>
      </c>
      <c r="C49" s="15"/>
      <c r="D49" s="12"/>
      <c r="E49" s="18" t="s">
        <v>38</v>
      </c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 t="s">
        <v>65</v>
      </c>
      <c r="B51" s="17">
        <f>('2015'!B51*Faktor!$B$4)+'2015'!B51</f>
        <v>13.639111199999999</v>
      </c>
      <c r="C51" s="15"/>
      <c r="D51" s="12"/>
      <c r="E51" s="18"/>
      <c r="F51" s="17"/>
      <c r="G51" s="15"/>
      <c r="H51" s="19"/>
    </row>
    <row r="52" spans="1:8" x14ac:dyDescent="0.15">
      <c r="A52" s="18"/>
      <c r="B52" s="17"/>
      <c r="C52" s="15"/>
      <c r="D52" s="12"/>
      <c r="E52" s="18"/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/>
      <c r="F53" s="27"/>
      <c r="G53" s="28"/>
      <c r="H53" s="29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6F1E-F162-4642-B31C-B51664A717D6}">
  <dimension ref="A1:H53"/>
  <sheetViews>
    <sheetView topLeftCell="A7" workbookViewId="0">
      <selection activeCell="F47" sqref="F47"/>
    </sheetView>
  </sheetViews>
  <sheetFormatPr defaultColWidth="8.8984375" defaultRowHeight="12.75" x14ac:dyDescent="0.15"/>
  <cols>
    <col min="1" max="1" width="19.41796875" customWidth="1"/>
    <col min="2" max="2" width="6.3359375" customWidth="1"/>
    <col min="3" max="4" width="8.8984375" customWidth="1"/>
    <col min="5" max="5" width="17.39453125" customWidth="1"/>
    <col min="6" max="6" width="7.14453125" customWidth="1"/>
  </cols>
  <sheetData>
    <row r="1" spans="1:8" ht="21" thickBot="1" x14ac:dyDescent="0.3">
      <c r="A1" s="98" t="s">
        <v>73</v>
      </c>
      <c r="B1" s="98"/>
      <c r="C1" s="98"/>
      <c r="D1" s="98"/>
      <c r="E1" s="98"/>
      <c r="F1" s="98"/>
      <c r="G1" s="98"/>
      <c r="H1" s="98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42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2.17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2.17</v>
      </c>
      <c r="C11" s="15"/>
      <c r="D11" s="15"/>
      <c r="E11" s="15" t="s">
        <v>49</v>
      </c>
      <c r="F11" s="17">
        <v>5.9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v>5.9</v>
      </c>
      <c r="G12" s="15"/>
      <c r="H12" s="19"/>
    </row>
    <row r="13" spans="1:8" x14ac:dyDescent="0.15">
      <c r="A13" s="18" t="s">
        <v>53</v>
      </c>
      <c r="B13" s="17">
        <f>('2016'!B13*Faktor!$B$5)+'2016'!B13</f>
        <v>1.43539246188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/>
      <c r="F14" s="17"/>
      <c r="G14" s="15"/>
      <c r="H14" s="19"/>
    </row>
    <row r="15" spans="1:8" x14ac:dyDescent="0.15">
      <c r="A15" s="18" t="s">
        <v>1</v>
      </c>
      <c r="B15" s="17">
        <v>33.11</v>
      </c>
      <c r="C15" s="15"/>
      <c r="D15" s="15"/>
      <c r="E15" s="15" t="s">
        <v>69</v>
      </c>
      <c r="F15" s="17">
        <v>4.16</v>
      </c>
      <c r="G15" s="15"/>
      <c r="H15" s="19"/>
    </row>
    <row r="16" spans="1:8" x14ac:dyDescent="0.15">
      <c r="A16" s="18" t="s">
        <v>2</v>
      </c>
      <c r="B16" s="17">
        <v>22.08</v>
      </c>
      <c r="C16" s="15"/>
      <c r="D16" s="15"/>
      <c r="E16" s="15" t="s">
        <v>24</v>
      </c>
      <c r="F16" s="17">
        <v>4.92</v>
      </c>
      <c r="G16" s="15"/>
      <c r="H16" s="19"/>
    </row>
    <row r="17" spans="1:8" x14ac:dyDescent="0.15">
      <c r="A17" s="18" t="s">
        <v>3</v>
      </c>
      <c r="B17" s="17">
        <v>16.57</v>
      </c>
      <c r="C17" s="15"/>
      <c r="D17" s="15"/>
      <c r="E17" s="15" t="s">
        <v>54</v>
      </c>
      <c r="F17" s="17">
        <v>5.0999999999999996</v>
      </c>
      <c r="G17" s="15"/>
      <c r="H17" s="19"/>
    </row>
    <row r="18" spans="1:8" x14ac:dyDescent="0.15">
      <c r="A18" s="18" t="s">
        <v>52</v>
      </c>
      <c r="B18" s="17">
        <v>11.03</v>
      </c>
      <c r="C18" s="15"/>
      <c r="D18" s="15"/>
      <c r="E18" s="15" t="s">
        <v>55</v>
      </c>
      <c r="F18" s="17">
        <v>0.93</v>
      </c>
      <c r="G18" s="15"/>
      <c r="H18" s="19"/>
    </row>
    <row r="19" spans="1:8" x14ac:dyDescent="0.15">
      <c r="A19" s="18" t="s">
        <v>4</v>
      </c>
      <c r="B19" s="17">
        <v>5.51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v>2.9</v>
      </c>
      <c r="G20" s="15"/>
      <c r="H20" s="19"/>
    </row>
    <row r="21" spans="1:8" x14ac:dyDescent="0.15">
      <c r="A21" s="18" t="s">
        <v>5</v>
      </c>
      <c r="B21" s="17">
        <v>19.38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v>12.15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v>8.2200000000000006</v>
      </c>
      <c r="C23" s="15"/>
      <c r="D23" s="15"/>
      <c r="E23" s="15" t="s">
        <v>26</v>
      </c>
      <c r="F23" s="17">
        <v>3.24</v>
      </c>
      <c r="G23" s="15"/>
      <c r="H23" s="19"/>
    </row>
    <row r="24" spans="1:8" x14ac:dyDescent="0.15">
      <c r="A24" s="18" t="s">
        <v>72</v>
      </c>
      <c r="B24" s="17">
        <v>8.2200000000000006</v>
      </c>
      <c r="C24" s="15"/>
      <c r="D24" s="15"/>
      <c r="E24" s="15" t="s">
        <v>27</v>
      </c>
      <c r="F24" s="17">
        <v>3.24</v>
      </c>
      <c r="G24" s="15"/>
      <c r="H24" s="19"/>
    </row>
    <row r="25" spans="1:8" x14ac:dyDescent="0.15">
      <c r="A25" s="18" t="s">
        <v>8</v>
      </c>
      <c r="B25" s="17">
        <v>4.92</v>
      </c>
      <c r="C25" s="15"/>
      <c r="D25" s="15"/>
      <c r="E25" s="15" t="s">
        <v>28</v>
      </c>
      <c r="F25" s="17">
        <v>3.24</v>
      </c>
      <c r="G25" s="15"/>
      <c r="H25" s="19"/>
    </row>
    <row r="26" spans="1:8" x14ac:dyDescent="0.15">
      <c r="A26" s="18" t="s">
        <v>9</v>
      </c>
      <c r="B26" s="17">
        <v>4.92</v>
      </c>
      <c r="C26" s="15"/>
      <c r="D26" s="15"/>
      <c r="E26" s="15" t="s">
        <v>29</v>
      </c>
      <c r="F26" s="17">
        <v>3.24</v>
      </c>
      <c r="G26" s="15"/>
      <c r="H26" s="19"/>
    </row>
    <row r="27" spans="1:8" x14ac:dyDescent="0.15">
      <c r="A27" s="18" t="s">
        <v>10</v>
      </c>
      <c r="B27" s="17">
        <v>4.92</v>
      </c>
      <c r="C27" s="15"/>
      <c r="D27" s="15"/>
      <c r="E27" s="15" t="s">
        <v>30</v>
      </c>
      <c r="F27" s="17">
        <v>3.24</v>
      </c>
      <c r="G27" s="15"/>
      <c r="H27" s="19"/>
    </row>
    <row r="28" spans="1:8" x14ac:dyDescent="0.15">
      <c r="A28" s="18" t="s">
        <v>11</v>
      </c>
      <c r="B28" s="17">
        <v>4.92</v>
      </c>
      <c r="C28" s="15"/>
      <c r="D28" s="15"/>
      <c r="E28" s="15" t="s">
        <v>31</v>
      </c>
      <c r="F28" s="17">
        <v>3.24</v>
      </c>
      <c r="G28" s="15"/>
      <c r="H28" s="19"/>
    </row>
    <row r="29" spans="1:8" x14ac:dyDescent="0.15">
      <c r="A29" s="18" t="s">
        <v>12</v>
      </c>
      <c r="B29" s="17">
        <v>4.92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('2016'!F30*Faktor!$B$5)+'2016'!F30</f>
        <v>2.3050097928000004</v>
      </c>
      <c r="G30" s="15"/>
      <c r="H30" s="19"/>
    </row>
    <row r="31" spans="1:8" x14ac:dyDescent="0.15">
      <c r="A31" s="18" t="s">
        <v>13</v>
      </c>
      <c r="B31" s="17">
        <v>10.02</v>
      </c>
      <c r="C31" s="15"/>
      <c r="D31" s="15"/>
      <c r="E31" s="37" t="s">
        <v>67</v>
      </c>
      <c r="F31" s="17">
        <v>5.56</v>
      </c>
      <c r="G31" s="15"/>
      <c r="H31" s="19"/>
    </row>
    <row r="32" spans="1:8" x14ac:dyDescent="0.15">
      <c r="A32" s="18" t="s">
        <v>14</v>
      </c>
      <c r="B32" s="17">
        <v>5.72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('2016'!B33*Faktor!$B$5)+'2016'!B33</f>
        <v>2.8498302892799998</v>
      </c>
      <c r="C33" s="15"/>
      <c r="D33" s="15"/>
      <c r="E33" s="15"/>
      <c r="F33" s="17"/>
      <c r="G33" s="15"/>
      <c r="H33" s="19"/>
    </row>
    <row r="34" spans="1:8" x14ac:dyDescent="0.15">
      <c r="A34" s="18" t="s">
        <v>16</v>
      </c>
      <c r="B34" s="17">
        <f>('2016'!B34*Faktor!$B$5)+'2016'!B34</f>
        <v>2.8498302892799998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('2016'!B35*Faktor!$B$5)+'2016'!B35</f>
        <v>2.8498302892799998</v>
      </c>
      <c r="C35" s="15"/>
      <c r="D35" s="15"/>
      <c r="E35" s="15" t="s">
        <v>76</v>
      </c>
      <c r="F35" s="17">
        <v>5</v>
      </c>
      <c r="G35" s="15"/>
      <c r="H35" s="19"/>
    </row>
    <row r="36" spans="1:8" x14ac:dyDescent="0.15">
      <c r="A36" s="18" t="s">
        <v>18</v>
      </c>
      <c r="B36" s="17">
        <f>('2016'!B36*Faktor!$B$5)+'2016'!B36</f>
        <v>2.8498302892799998</v>
      </c>
      <c r="C36" s="15"/>
      <c r="D36" s="15"/>
      <c r="E36" s="15" t="s">
        <v>47</v>
      </c>
      <c r="F36" s="17">
        <f>('2016'!F36*Faktor!$B$5)+'2016'!F36</f>
        <v>8.2454626799999993</v>
      </c>
      <c r="G36" s="15"/>
      <c r="H36" s="19"/>
    </row>
    <row r="37" spans="1:8" x14ac:dyDescent="0.15">
      <c r="A37" s="18" t="s">
        <v>19</v>
      </c>
      <c r="B37" s="17">
        <f>('2016'!B37*Faktor!$B$5)+'2016'!B37</f>
        <v>2.8498302892799998</v>
      </c>
      <c r="C37" s="15"/>
      <c r="D37" s="15"/>
      <c r="E37" s="15"/>
      <c r="F37" s="17"/>
      <c r="G37" s="15"/>
      <c r="H37" s="19"/>
    </row>
    <row r="38" spans="1:8" x14ac:dyDescent="0.15">
      <c r="A38" s="18"/>
      <c r="B38" s="17"/>
      <c r="C38" s="15"/>
      <c r="D38" s="15"/>
      <c r="E38" s="15"/>
      <c r="F38" s="17"/>
      <c r="G38" s="15"/>
      <c r="H38" s="19"/>
    </row>
    <row r="39" spans="1:8" x14ac:dyDescent="0.15">
      <c r="A39" s="18"/>
      <c r="B39" s="17"/>
      <c r="C39" s="15"/>
      <c r="D39" s="15"/>
      <c r="E39" s="15"/>
      <c r="F39" s="17"/>
      <c r="G39" s="15"/>
      <c r="H39" s="19"/>
    </row>
    <row r="40" spans="1:8" ht="13.5" thickBot="1" x14ac:dyDescent="0.2">
      <c r="A40" s="18"/>
      <c r="B40" s="17"/>
      <c r="C40" s="15"/>
      <c r="D40" s="15"/>
      <c r="E40" s="33"/>
      <c r="F40" s="34"/>
      <c r="G40" s="33"/>
      <c r="H40" s="35"/>
    </row>
    <row r="41" spans="1:8" x14ac:dyDescent="0.15">
      <c r="A41" s="18" t="s">
        <v>68</v>
      </c>
      <c r="B41" s="17">
        <v>6.66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v>8.33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('2016'!F43*Faktor!$B$5)+'2016'!F43</f>
        <v>2.7869663858400004</v>
      </c>
      <c r="G43" s="15"/>
      <c r="H43" s="19"/>
    </row>
    <row r="44" spans="1:8" x14ac:dyDescent="0.15">
      <c r="A44" s="18" t="s">
        <v>59</v>
      </c>
      <c r="B44" s="17">
        <v>4.47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v>8.94</v>
      </c>
      <c r="C45" s="15"/>
      <c r="D45" s="12"/>
      <c r="E45" s="18" t="s">
        <v>58</v>
      </c>
      <c r="F45" s="17">
        <v>58.13</v>
      </c>
      <c r="G45" s="15"/>
      <c r="H45" s="19"/>
    </row>
    <row r="46" spans="1:8" x14ac:dyDescent="0.15">
      <c r="A46" s="18" t="s">
        <v>61</v>
      </c>
      <c r="B46" s="17">
        <v>13.41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v>17.88</v>
      </c>
      <c r="C47" s="15"/>
      <c r="D47" s="12"/>
      <c r="E47" s="18" t="s">
        <v>36</v>
      </c>
      <c r="F47" s="17">
        <f>('2016'!F47*Faktor!$B$5)+'2016'!F47</f>
        <v>1.70780271012</v>
      </c>
      <c r="G47" s="15"/>
      <c r="H47" s="19"/>
    </row>
    <row r="48" spans="1:8" x14ac:dyDescent="0.15">
      <c r="A48" s="18" t="s">
        <v>63</v>
      </c>
      <c r="B48" s="17">
        <v>22.35</v>
      </c>
      <c r="C48" s="15"/>
      <c r="D48" s="12"/>
      <c r="E48" s="18" t="s">
        <v>37</v>
      </c>
      <c r="F48" s="17"/>
      <c r="G48" s="15"/>
      <c r="H48" s="19"/>
    </row>
    <row r="49" spans="1:8" x14ac:dyDescent="0.15">
      <c r="A49" s="18" t="s">
        <v>64</v>
      </c>
      <c r="B49" s="17">
        <v>26.82</v>
      </c>
      <c r="C49" s="15"/>
      <c r="D49" s="12"/>
      <c r="E49" s="18" t="s">
        <v>38</v>
      </c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 t="s">
        <v>65</v>
      </c>
      <c r="B51" s="17">
        <v>13.88</v>
      </c>
      <c r="C51" s="15"/>
      <c r="D51" s="12"/>
      <c r="E51" s="18"/>
      <c r="F51" s="17"/>
      <c r="G51" s="15"/>
      <c r="H51" s="19"/>
    </row>
    <row r="52" spans="1:8" x14ac:dyDescent="0.15">
      <c r="A52" s="18"/>
      <c r="B52" s="17"/>
      <c r="C52" s="15"/>
      <c r="D52" s="12"/>
      <c r="E52" s="18"/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/>
      <c r="F53" s="27"/>
      <c r="G53" s="28"/>
      <c r="H53" s="29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A5D7-4FF8-481D-84F1-23C206D89AEF}">
  <dimension ref="A1:H53"/>
  <sheetViews>
    <sheetView topLeftCell="A7" workbookViewId="0">
      <selection activeCell="B10" sqref="B10"/>
    </sheetView>
  </sheetViews>
  <sheetFormatPr defaultColWidth="8.8984375" defaultRowHeight="12.75" x14ac:dyDescent="0.15"/>
  <cols>
    <col min="1" max="1" width="18.203125" customWidth="1"/>
    <col min="2" max="2" width="7.01171875" customWidth="1"/>
    <col min="3" max="4" width="8.8984375" customWidth="1"/>
    <col min="5" max="5" width="20.359375" customWidth="1"/>
    <col min="6" max="6" width="6.7421875" customWidth="1"/>
  </cols>
  <sheetData>
    <row r="1" spans="1:8" ht="21" thickBot="1" x14ac:dyDescent="0.3">
      <c r="A1" s="98" t="s">
        <v>74</v>
      </c>
      <c r="B1" s="98"/>
      <c r="C1" s="98"/>
      <c r="D1" s="98"/>
      <c r="E1" s="98"/>
      <c r="F1" s="98"/>
      <c r="G1" s="98"/>
      <c r="H1" s="98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42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f>('2017'!B10*Faktor!$B$6)+'2017'!B10</f>
        <v>2.21123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f>('2017'!B11*Faktor!$B$6)+'2017'!B11</f>
        <v>2.21123</v>
      </c>
      <c r="C11" s="15"/>
      <c r="D11" s="15"/>
      <c r="E11" s="15" t="s">
        <v>49</v>
      </c>
      <c r="F11" s="17">
        <f>('2017'!F11*Faktor!$B$6)+'2017'!F11</f>
        <v>6.0121000000000002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f>('2017'!F12*Faktor!$B$6)+'2017'!F12</f>
        <v>6.0121000000000002</v>
      </c>
      <c r="G12" s="15"/>
      <c r="H12" s="19"/>
    </row>
    <row r="13" spans="1:8" x14ac:dyDescent="0.15">
      <c r="A13" s="18" t="s">
        <v>53</v>
      </c>
      <c r="B13" s="17">
        <v>1.47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 t="s">
        <v>77</v>
      </c>
      <c r="F14" s="17"/>
      <c r="G14" s="15"/>
      <c r="H14" s="19"/>
    </row>
    <row r="15" spans="1:8" x14ac:dyDescent="0.15">
      <c r="A15" s="18" t="s">
        <v>1</v>
      </c>
      <c r="B15" s="17">
        <f>('2017'!B15*Faktor!$B$6)+'2017'!B15</f>
        <v>33.739089999999997</v>
      </c>
      <c r="C15" s="15"/>
      <c r="D15" s="15"/>
      <c r="E15" s="15" t="s">
        <v>69</v>
      </c>
      <c r="F15" s="17">
        <f>('2017'!F15*Faktor!$B$6)+'2017'!F15</f>
        <v>4.2390400000000001</v>
      </c>
      <c r="G15" s="15"/>
      <c r="H15" s="19"/>
    </row>
    <row r="16" spans="1:8" x14ac:dyDescent="0.15">
      <c r="A16" s="18" t="s">
        <v>2</v>
      </c>
      <c r="B16" s="17">
        <f>('2017'!B16*Faktor!$B$6)+'2017'!B16</f>
        <v>22.499519999999997</v>
      </c>
      <c r="C16" s="15"/>
      <c r="D16" s="15"/>
      <c r="E16" s="15" t="s">
        <v>24</v>
      </c>
      <c r="F16" s="17">
        <f>('2017'!F16*Faktor!$B$6)+'2017'!F16</f>
        <v>5.0134799999999995</v>
      </c>
      <c r="G16" s="15"/>
      <c r="H16" s="19"/>
    </row>
    <row r="17" spans="1:8" x14ac:dyDescent="0.15">
      <c r="A17" s="18" t="s">
        <v>3</v>
      </c>
      <c r="B17" s="17">
        <f>('2017'!B17*Faktor!$B$6)+'2017'!B17</f>
        <v>16.884830000000001</v>
      </c>
      <c r="C17" s="15"/>
      <c r="D17" s="15"/>
      <c r="E17" s="15" t="s">
        <v>54</v>
      </c>
      <c r="F17" s="17">
        <f>('2017'!F17*Faktor!$B$6)+'2017'!F17</f>
        <v>5.1968999999999994</v>
      </c>
      <c r="G17" s="15"/>
      <c r="H17" s="19"/>
    </row>
    <row r="18" spans="1:8" x14ac:dyDescent="0.15">
      <c r="A18" s="18" t="s">
        <v>52</v>
      </c>
      <c r="B18" s="17">
        <f>('2017'!B18*Faktor!$B$6)+'2017'!B18</f>
        <v>11.239569999999999</v>
      </c>
      <c r="C18" s="15"/>
      <c r="D18" s="15"/>
      <c r="E18" s="15" t="s">
        <v>55</v>
      </c>
      <c r="F18" s="17">
        <f>('2017'!F18*Faktor!$B$6)+'2017'!F18</f>
        <v>0.94767000000000001</v>
      </c>
      <c r="G18" s="15"/>
      <c r="H18" s="19"/>
    </row>
    <row r="19" spans="1:8" x14ac:dyDescent="0.15">
      <c r="A19" s="18" t="s">
        <v>4</v>
      </c>
      <c r="B19" s="17">
        <f>('2017'!B19*Faktor!$B$6)+'2017'!B19</f>
        <v>5.6146899999999995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f>('2017'!F20*Faktor!$B$6)+'2017'!F20</f>
        <v>2.9550999999999998</v>
      </c>
      <c r="G20" s="15"/>
      <c r="H20" s="19"/>
    </row>
    <row r="21" spans="1:8" x14ac:dyDescent="0.15">
      <c r="A21" s="18" t="s">
        <v>5</v>
      </c>
      <c r="B21" s="17">
        <f>('2017'!B21*Faktor!$B$6)+'2017'!B21</f>
        <v>19.74822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f>('2017'!B22*Faktor!$B$6)+'2017'!B22</f>
        <v>12.380850000000001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f>('2017'!B23*Faktor!$B$6)+'2017'!B23</f>
        <v>8.3761800000000015</v>
      </c>
      <c r="C23" s="15"/>
      <c r="D23" s="15"/>
      <c r="E23" s="15" t="s">
        <v>26</v>
      </c>
      <c r="F23" s="17">
        <f>('2017'!F23*Faktor!$B$6)+'2017'!F23</f>
        <v>3.3015600000000003</v>
      </c>
      <c r="G23" s="15"/>
      <c r="H23" s="19"/>
    </row>
    <row r="24" spans="1:8" x14ac:dyDescent="0.15">
      <c r="A24" s="18" t="s">
        <v>72</v>
      </c>
      <c r="B24" s="17">
        <f>('2017'!B24*Faktor!$B$6)+'2017'!B24</f>
        <v>8.3761800000000015</v>
      </c>
      <c r="C24" s="15"/>
      <c r="D24" s="15"/>
      <c r="E24" s="15" t="s">
        <v>27</v>
      </c>
      <c r="F24" s="17">
        <f>('2017'!F24*Faktor!$B$6)+'2017'!F24</f>
        <v>3.3015600000000003</v>
      </c>
      <c r="G24" s="15"/>
      <c r="H24" s="19"/>
    </row>
    <row r="25" spans="1:8" x14ac:dyDescent="0.15">
      <c r="A25" s="18" t="s">
        <v>8</v>
      </c>
      <c r="B25" s="17">
        <f>('2017'!B25*Faktor!$B$6)+'2017'!B25</f>
        <v>5.0134799999999995</v>
      </c>
      <c r="C25" s="15"/>
      <c r="D25" s="15"/>
      <c r="E25" s="15" t="s">
        <v>28</v>
      </c>
      <c r="F25" s="17">
        <f>('2017'!F25*Faktor!$B$6)+'2017'!F25</f>
        <v>3.3015600000000003</v>
      </c>
      <c r="G25" s="15"/>
      <c r="H25" s="19"/>
    </row>
    <row r="26" spans="1:8" x14ac:dyDescent="0.15">
      <c r="A26" s="18" t="s">
        <v>9</v>
      </c>
      <c r="B26" s="17">
        <f>('2017'!B26*Faktor!$B$6)+'2017'!B26</f>
        <v>5.0134799999999995</v>
      </c>
      <c r="C26" s="15"/>
      <c r="D26" s="15"/>
      <c r="E26" s="15" t="s">
        <v>29</v>
      </c>
      <c r="F26" s="17">
        <f>('2017'!F26*Faktor!$B$6)+'2017'!F26</f>
        <v>3.3015600000000003</v>
      </c>
      <c r="G26" s="15"/>
      <c r="H26" s="19"/>
    </row>
    <row r="27" spans="1:8" x14ac:dyDescent="0.15">
      <c r="A27" s="18" t="s">
        <v>10</v>
      </c>
      <c r="B27" s="17">
        <f>('2017'!B27*Faktor!$B$6)+'2017'!B27</f>
        <v>5.0134799999999995</v>
      </c>
      <c r="C27" s="15"/>
      <c r="D27" s="15"/>
      <c r="E27" s="15" t="s">
        <v>30</v>
      </c>
      <c r="F27" s="17">
        <f>('2017'!F27*Faktor!$B$6)+'2017'!F27</f>
        <v>3.3015600000000003</v>
      </c>
      <c r="G27" s="15"/>
      <c r="H27" s="19"/>
    </row>
    <row r="28" spans="1:8" x14ac:dyDescent="0.15">
      <c r="A28" s="18" t="s">
        <v>11</v>
      </c>
      <c r="B28" s="17">
        <f>('2017'!B28*Faktor!$B$6)+'2017'!B28</f>
        <v>5.0134799999999995</v>
      </c>
      <c r="C28" s="15"/>
      <c r="D28" s="15"/>
      <c r="E28" s="15" t="s">
        <v>31</v>
      </c>
      <c r="F28" s="17">
        <f>('2017'!F28*Faktor!$B$6)+'2017'!F28</f>
        <v>3.3015600000000003</v>
      </c>
      <c r="G28" s="15"/>
      <c r="H28" s="19"/>
    </row>
    <row r="29" spans="1:8" x14ac:dyDescent="0.15">
      <c r="A29" s="18" t="s">
        <v>12</v>
      </c>
      <c r="B29" s="17">
        <f>('2017'!B29*Faktor!$B$6)+'2017'!B29</f>
        <v>5.0134799999999995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('2017'!F30*Faktor!$B$6)+'2017'!F30</f>
        <v>2.3488049788632006</v>
      </c>
      <c r="G30" s="15"/>
      <c r="H30" s="19"/>
    </row>
    <row r="31" spans="1:8" x14ac:dyDescent="0.15">
      <c r="A31" s="18" t="s">
        <v>13</v>
      </c>
      <c r="B31" s="17">
        <f>('2017'!B31*Faktor!$B$6)+'2017'!B31</f>
        <v>10.210379999999999</v>
      </c>
      <c r="C31" s="15"/>
      <c r="D31" s="15"/>
      <c r="E31" s="37" t="s">
        <v>67</v>
      </c>
      <c r="F31" s="17">
        <f>('2017'!F31*Faktor!$B$6)+'2017'!F31</f>
        <v>5.6656399999999998</v>
      </c>
      <c r="G31" s="15"/>
      <c r="H31" s="19"/>
    </row>
    <row r="32" spans="1:8" x14ac:dyDescent="0.15">
      <c r="A32" s="18" t="s">
        <v>14</v>
      </c>
      <c r="B32" s="17">
        <f>('2017'!B32*Faktor!$B$6)+'2017'!B32</f>
        <v>5.8286799999999994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('2017'!B33*Faktor!$B$6)+'2017'!B33</f>
        <v>2.9039770647763197</v>
      </c>
      <c r="C33" s="15"/>
      <c r="D33" s="15"/>
      <c r="E33" s="15" t="s">
        <v>78</v>
      </c>
      <c r="F33" s="17">
        <v>5.15</v>
      </c>
      <c r="G33" s="15"/>
      <c r="H33" s="19"/>
    </row>
    <row r="34" spans="1:8" x14ac:dyDescent="0.15">
      <c r="A34" s="18" t="s">
        <v>16</v>
      </c>
      <c r="B34" s="17">
        <f>('2017'!B34*Faktor!$B$6)+'2017'!B34</f>
        <v>2.9039770647763197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('2017'!B35*Faktor!$B$6)+'2017'!B35</f>
        <v>2.9039770647763197</v>
      </c>
      <c r="C35" s="15"/>
      <c r="D35" s="15"/>
      <c r="E35" s="15" t="s">
        <v>76</v>
      </c>
      <c r="F35" s="17">
        <v>5</v>
      </c>
      <c r="G35" s="15"/>
      <c r="H35" s="19"/>
    </row>
    <row r="36" spans="1:8" x14ac:dyDescent="0.15">
      <c r="A36" s="18" t="s">
        <v>18</v>
      </c>
      <c r="B36" s="17">
        <f>('2017'!B36*Faktor!$B$6)+'2017'!B36</f>
        <v>2.9039770647763197</v>
      </c>
      <c r="C36" s="15"/>
      <c r="D36" s="15"/>
      <c r="E36" s="15" t="s">
        <v>47</v>
      </c>
      <c r="F36" s="17">
        <v>8.41</v>
      </c>
      <c r="G36" s="15"/>
      <c r="H36" s="19"/>
    </row>
    <row r="37" spans="1:8" x14ac:dyDescent="0.15">
      <c r="A37" s="18" t="s">
        <v>19</v>
      </c>
      <c r="B37" s="17">
        <f>('2017'!B37*Faktor!$B$6)+'2017'!B37</f>
        <v>2.9039770647763197</v>
      </c>
      <c r="C37" s="15"/>
      <c r="D37" s="15"/>
      <c r="E37" s="15" t="s">
        <v>81</v>
      </c>
      <c r="F37" s="17">
        <v>5.2</v>
      </c>
      <c r="G37" s="15"/>
      <c r="H37" s="19"/>
    </row>
    <row r="38" spans="1:8" x14ac:dyDescent="0.15">
      <c r="A38" s="18"/>
      <c r="B38" s="17"/>
      <c r="C38" s="15"/>
      <c r="D38" s="15"/>
      <c r="E38" s="15" t="s">
        <v>82</v>
      </c>
      <c r="F38" s="43">
        <v>8.5399999999999991</v>
      </c>
      <c r="G38" s="15"/>
      <c r="H38" s="19"/>
    </row>
    <row r="39" spans="1:8" x14ac:dyDescent="0.15">
      <c r="A39" s="18"/>
      <c r="B39" s="17"/>
      <c r="C39" s="15"/>
      <c r="D39" s="15"/>
      <c r="E39" s="15" t="s">
        <v>79</v>
      </c>
      <c r="F39" s="17">
        <v>250.6</v>
      </c>
      <c r="G39" s="15"/>
      <c r="H39" s="19"/>
    </row>
    <row r="40" spans="1:8" ht="13.5" thickBot="1" x14ac:dyDescent="0.2">
      <c r="A40" s="18"/>
      <c r="B40" s="17"/>
      <c r="C40" s="15"/>
      <c r="D40" s="15"/>
      <c r="E40" s="15" t="s">
        <v>80</v>
      </c>
      <c r="F40" s="17">
        <v>126.57</v>
      </c>
      <c r="G40" s="33"/>
      <c r="H40" s="35"/>
    </row>
    <row r="41" spans="1:8" x14ac:dyDescent="0.15">
      <c r="A41" s="18" t="s">
        <v>68</v>
      </c>
      <c r="B41" s="17">
        <f>('2017'!B41*Faktor!$B$6)+'2017'!B41</f>
        <v>6.7865400000000005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f>('2017'!B42*Faktor!$B$6)+'2017'!B42</f>
        <v>8.48827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('2017'!F43*Faktor!$B$6)+'2017'!F43</f>
        <v>2.8399187471709606</v>
      </c>
      <c r="G43" s="15"/>
      <c r="H43" s="19"/>
    </row>
    <row r="44" spans="1:8" x14ac:dyDescent="0.15">
      <c r="A44" s="18" t="s">
        <v>59</v>
      </c>
      <c r="B44" s="17">
        <f>('2017'!B44*Faktor!$B$6)+'2017'!B44</f>
        <v>4.5549299999999997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f>('2017'!B45*Faktor!$B$6)+'2017'!B45</f>
        <v>9.1098599999999994</v>
      </c>
      <c r="C45" s="15"/>
      <c r="D45" s="12"/>
      <c r="E45" s="18" t="s">
        <v>58</v>
      </c>
      <c r="F45" s="17">
        <v>59.23</v>
      </c>
      <c r="G45" s="15"/>
      <c r="H45" s="19"/>
    </row>
    <row r="46" spans="1:8" x14ac:dyDescent="0.15">
      <c r="A46" s="18" t="s">
        <v>61</v>
      </c>
      <c r="B46" s="17">
        <f>('2017'!B46*Faktor!$B$6)+'2017'!B46</f>
        <v>13.66479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f>('2017'!B47*Faktor!$B$6)+'2017'!B47</f>
        <v>18.219719999999999</v>
      </c>
      <c r="C47" s="15"/>
      <c r="D47" s="12"/>
      <c r="E47" s="18" t="s">
        <v>36</v>
      </c>
      <c r="F47" s="17">
        <f>('2017'!F47*Faktor!$B$6)+'2017'!F47</f>
        <v>1.7402509616122799</v>
      </c>
      <c r="G47" s="15"/>
      <c r="H47" s="19"/>
    </row>
    <row r="48" spans="1:8" x14ac:dyDescent="0.15">
      <c r="A48" s="18" t="s">
        <v>63</v>
      </c>
      <c r="B48" s="17">
        <f>('2017'!B48*Faktor!$B$6)+'2017'!B48</f>
        <v>22.774650000000001</v>
      </c>
      <c r="C48" s="15"/>
      <c r="D48" s="12"/>
      <c r="E48" s="18" t="s">
        <v>37</v>
      </c>
      <c r="F48" s="17"/>
      <c r="G48" s="15"/>
      <c r="H48" s="19"/>
    </row>
    <row r="49" spans="1:8" x14ac:dyDescent="0.15">
      <c r="A49" s="18" t="s">
        <v>64</v>
      </c>
      <c r="B49" s="17">
        <f>('2017'!B49*Faktor!$B$6)+'2017'!B49</f>
        <v>27.32958</v>
      </c>
      <c r="C49" s="15"/>
      <c r="D49" s="12"/>
      <c r="E49" s="18" t="s">
        <v>38</v>
      </c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 t="s">
        <v>65</v>
      </c>
      <c r="B51" s="17">
        <f>('2017'!B51*Faktor!$B$6)+'2017'!B51</f>
        <v>14.14372</v>
      </c>
      <c r="C51" s="15"/>
      <c r="D51" s="12"/>
      <c r="E51" s="18"/>
      <c r="F51" s="17"/>
      <c r="G51" s="15"/>
      <c r="H51" s="19"/>
    </row>
    <row r="52" spans="1:8" x14ac:dyDescent="0.15">
      <c r="A52" s="18"/>
      <c r="B52" s="17"/>
      <c r="C52" s="15"/>
      <c r="D52" s="12"/>
      <c r="E52" s="18"/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/>
      <c r="F53" s="27"/>
      <c r="G53" s="28"/>
      <c r="H53" s="29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D3B6-7BEA-4109-86AB-8E0958AD86B5}">
  <dimension ref="A1:H53"/>
  <sheetViews>
    <sheetView workbookViewId="0">
      <selection activeCell="B10" sqref="B10"/>
    </sheetView>
  </sheetViews>
  <sheetFormatPr defaultColWidth="8.8984375" defaultRowHeight="12.75" x14ac:dyDescent="0.15"/>
  <cols>
    <col min="1" max="1" width="17.93359375" customWidth="1"/>
    <col min="2" max="2" width="5.66015625" customWidth="1"/>
    <col min="3" max="4" width="8.8984375" customWidth="1"/>
    <col min="5" max="5" width="17.93359375" customWidth="1"/>
    <col min="6" max="6" width="6.3359375" customWidth="1"/>
  </cols>
  <sheetData>
    <row r="1" spans="1:8" ht="21" thickBot="1" x14ac:dyDescent="0.3">
      <c r="A1" s="98" t="s">
        <v>75</v>
      </c>
      <c r="B1" s="98"/>
      <c r="C1" s="98"/>
      <c r="D1" s="98"/>
      <c r="E1" s="98"/>
      <c r="F1" s="98"/>
      <c r="G1" s="98"/>
      <c r="H1" s="98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/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1" t="s">
        <v>22</v>
      </c>
      <c r="B5" s="12"/>
      <c r="C5" s="13"/>
      <c r="D5" s="13"/>
      <c r="E5" s="13"/>
      <c r="F5" s="12" t="s">
        <v>44</v>
      </c>
      <c r="G5" s="12"/>
      <c r="H5" s="14"/>
    </row>
    <row r="6" spans="1:8" ht="13.5" thickBot="1" x14ac:dyDescent="0.2">
      <c r="A6" s="42" t="s">
        <v>23</v>
      </c>
      <c r="B6" s="4"/>
      <c r="C6" s="2"/>
      <c r="D6" s="2"/>
      <c r="E6" s="2"/>
      <c r="F6" s="4"/>
      <c r="G6" s="4"/>
      <c r="H6" s="3"/>
    </row>
    <row r="7" spans="1:8" ht="13.5" thickBot="1" x14ac:dyDescent="0.2">
      <c r="A7" s="20"/>
      <c r="B7" s="21"/>
      <c r="C7" s="21"/>
      <c r="D7" s="21"/>
      <c r="E7" s="21"/>
      <c r="F7" s="21"/>
      <c r="G7" s="21"/>
      <c r="H7" s="22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2.25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2.25</v>
      </c>
      <c r="C11" s="15"/>
      <c r="D11" s="15"/>
      <c r="E11" s="15" t="s">
        <v>49</v>
      </c>
      <c r="F11" s="17">
        <f>('2018'!F11*Faktor!$B$7)+'2018'!F11</f>
        <v>6.1383540999999999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f>('2018'!F12*Faktor!$B$7)+'2018'!F12</f>
        <v>6.1383540999999999</v>
      </c>
      <c r="G12" s="15"/>
      <c r="H12" s="19"/>
    </row>
    <row r="13" spans="1:8" x14ac:dyDescent="0.15">
      <c r="A13" s="18" t="s">
        <v>53</v>
      </c>
      <c r="B13" s="17">
        <f>('2018'!B13*Faktor!$B$7)+'2018'!B13</f>
        <v>1.5008699999999999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F14" s="17"/>
      <c r="G14" s="15"/>
      <c r="H14" s="19"/>
    </row>
    <row r="15" spans="1:8" x14ac:dyDescent="0.15">
      <c r="A15" s="18" t="s">
        <v>1</v>
      </c>
      <c r="B15" s="17">
        <f>('2018'!B15*Faktor!$B$7)+'2018'!B15</f>
        <v>34.44761089</v>
      </c>
      <c r="C15" s="15"/>
      <c r="D15" s="15"/>
      <c r="E15" s="15" t="s">
        <v>69</v>
      </c>
      <c r="F15" s="17">
        <f>('2018'!F15*Faktor!$B$7)+'2018'!F15</f>
        <v>4.3280598399999999</v>
      </c>
      <c r="G15" s="15"/>
      <c r="H15" s="19"/>
    </row>
    <row r="16" spans="1:8" x14ac:dyDescent="0.15">
      <c r="A16" s="18" t="s">
        <v>2</v>
      </c>
      <c r="B16" s="17">
        <f>('2018'!B16*Faktor!$B$7)+'2018'!B16</f>
        <v>22.972009919999998</v>
      </c>
      <c r="C16" s="15"/>
      <c r="D16" s="15"/>
      <c r="E16" s="15" t="s">
        <v>24</v>
      </c>
      <c r="F16" s="17">
        <f>('2018'!F16*Faktor!$B$7)+'2018'!F16</f>
        <v>5.1187630799999999</v>
      </c>
      <c r="G16" s="15"/>
      <c r="H16" s="19"/>
    </row>
    <row r="17" spans="1:8" x14ac:dyDescent="0.15">
      <c r="A17" s="18" t="s">
        <v>3</v>
      </c>
      <c r="B17" s="17">
        <f>('2018'!B17*Faktor!$B$7)+'2018'!B17</f>
        <v>17.239411430000001</v>
      </c>
      <c r="C17" s="15"/>
      <c r="D17" s="15"/>
      <c r="E17" s="15" t="s">
        <v>54</v>
      </c>
      <c r="F17" s="17">
        <f>('2018'!F17*Faktor!$B$7)+'2018'!F17</f>
        <v>5.3060348999999993</v>
      </c>
      <c r="G17" s="15"/>
      <c r="H17" s="19"/>
    </row>
    <row r="18" spans="1:8" x14ac:dyDescent="0.15">
      <c r="A18" s="18" t="s">
        <v>52</v>
      </c>
      <c r="B18" s="17">
        <f>('2018'!B18*Faktor!$B$7)+'2018'!B18</f>
        <v>11.475600969999999</v>
      </c>
      <c r="C18" s="15"/>
      <c r="D18" s="15"/>
      <c r="E18" s="15" t="s">
        <v>55</v>
      </c>
      <c r="F18" s="17">
        <f>('2018'!F18*Faktor!$B$7)+'2018'!F18</f>
        <v>0.96757106999999998</v>
      </c>
      <c r="G18" s="15"/>
      <c r="H18" s="19"/>
    </row>
    <row r="19" spans="1:8" x14ac:dyDescent="0.15">
      <c r="A19" s="18" t="s">
        <v>4</v>
      </c>
      <c r="B19" s="17">
        <f>('2018'!B19*Faktor!$B$7)+'2018'!B19</f>
        <v>5.7325984899999991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f>('2018'!F20*Faktor!$B$7)+'2018'!F20</f>
        <v>3.0171570999999999</v>
      </c>
      <c r="G20" s="15"/>
      <c r="H20" s="19"/>
    </row>
    <row r="21" spans="1:8" x14ac:dyDescent="0.15">
      <c r="A21" s="18" t="s">
        <v>5</v>
      </c>
      <c r="B21" s="17">
        <f>('2018'!B21*Faktor!$B$7)+'2018'!B21</f>
        <v>20.162932619999999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f>('2018'!B22*Faktor!$B$7)+'2018'!B22</f>
        <v>12.64084785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f>('2018'!B23*Faktor!$B$7)+'2018'!B23</f>
        <v>8.5520797800000015</v>
      </c>
      <c r="C23" s="15"/>
      <c r="D23" s="15"/>
      <c r="E23" s="15" t="s">
        <v>26</v>
      </c>
      <c r="F23" s="17">
        <f>('2018'!F23*Faktor!$B$7)+'2018'!F23</f>
        <v>3.3708927600000003</v>
      </c>
      <c r="G23" s="15"/>
      <c r="H23" s="19"/>
    </row>
    <row r="24" spans="1:8" x14ac:dyDescent="0.15">
      <c r="A24" s="18" t="s">
        <v>72</v>
      </c>
      <c r="B24" s="17">
        <f>('2018'!B24*Faktor!$B$7)+'2018'!B24</f>
        <v>8.5520797800000015</v>
      </c>
      <c r="C24" s="15"/>
      <c r="D24" s="15"/>
      <c r="E24" s="15" t="s">
        <v>27</v>
      </c>
      <c r="F24" s="17">
        <f>('2018'!F24*Faktor!$B$7)+'2018'!F24</f>
        <v>3.3708927600000003</v>
      </c>
      <c r="G24" s="15"/>
      <c r="H24" s="19"/>
    </row>
    <row r="25" spans="1:8" x14ac:dyDescent="0.15">
      <c r="A25" s="18" t="s">
        <v>8</v>
      </c>
      <c r="B25" s="17">
        <f>('2018'!B25*Faktor!$B$7)+'2018'!B25</f>
        <v>5.1187630799999999</v>
      </c>
      <c r="C25" s="15"/>
      <c r="D25" s="15"/>
      <c r="E25" s="15" t="s">
        <v>28</v>
      </c>
      <c r="F25" s="17">
        <f>('2018'!F25*Faktor!$B$7)+'2018'!F25</f>
        <v>3.3708927600000003</v>
      </c>
      <c r="G25" s="15"/>
      <c r="H25" s="19"/>
    </row>
    <row r="26" spans="1:8" x14ac:dyDescent="0.15">
      <c r="A26" s="18" t="s">
        <v>9</v>
      </c>
      <c r="B26" s="17">
        <f>('2018'!B26*Faktor!$B$7)+'2018'!B26</f>
        <v>5.1187630799999999</v>
      </c>
      <c r="C26" s="15"/>
      <c r="D26" s="15"/>
      <c r="E26" s="15" t="s">
        <v>29</v>
      </c>
      <c r="F26" s="17">
        <f>('2018'!F26*Faktor!$B$7)+'2018'!F26</f>
        <v>3.3708927600000003</v>
      </c>
      <c r="G26" s="15"/>
      <c r="H26" s="19"/>
    </row>
    <row r="27" spans="1:8" x14ac:dyDescent="0.15">
      <c r="A27" s="18" t="s">
        <v>10</v>
      </c>
      <c r="B27" s="17">
        <f>('2018'!B27*Faktor!$B$7)+'2018'!B27</f>
        <v>5.1187630799999999</v>
      </c>
      <c r="C27" s="15"/>
      <c r="D27" s="15"/>
      <c r="E27" s="15" t="s">
        <v>30</v>
      </c>
      <c r="F27" s="17">
        <f>('2018'!F27*Faktor!$B$7)+'2018'!F27</f>
        <v>3.3708927600000003</v>
      </c>
      <c r="G27" s="15"/>
      <c r="H27" s="19"/>
    </row>
    <row r="28" spans="1:8" x14ac:dyDescent="0.15">
      <c r="A28" s="18" t="s">
        <v>11</v>
      </c>
      <c r="B28" s="17">
        <f>('2018'!B28*Faktor!$B$7)+'2018'!B28</f>
        <v>5.1187630799999999</v>
      </c>
      <c r="C28" s="15"/>
      <c r="D28" s="15"/>
      <c r="E28" s="15" t="s">
        <v>31</v>
      </c>
      <c r="F28" s="17">
        <f>('2018'!F28*Faktor!$B$7)+'2018'!F28</f>
        <v>3.3708927600000003</v>
      </c>
      <c r="G28" s="15"/>
      <c r="H28" s="19"/>
    </row>
    <row r="29" spans="1:8" x14ac:dyDescent="0.15">
      <c r="A29" s="18" t="s">
        <v>12</v>
      </c>
      <c r="B29" s="17">
        <f>('2018'!B29*Faktor!$B$7)+'2018'!B29</f>
        <v>5.1187630799999999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('2018'!F30*Faktor!$B$7)+'2018'!F30</f>
        <v>2.3981298834193279</v>
      </c>
      <c r="G30" s="15"/>
      <c r="H30" s="19"/>
    </row>
    <row r="31" spans="1:8" x14ac:dyDescent="0.15">
      <c r="A31" s="18" t="s">
        <v>13</v>
      </c>
      <c r="B31" s="17">
        <f>('2018'!B31*Faktor!$B$7)+'2018'!B31</f>
        <v>10.424797979999999</v>
      </c>
      <c r="C31" s="15"/>
      <c r="D31" s="15"/>
      <c r="E31" s="37" t="s">
        <v>67</v>
      </c>
      <c r="F31" s="17">
        <f>('2018'!F31*Faktor!$B$7)+'2018'!F31</f>
        <v>5.78461844</v>
      </c>
      <c r="G31" s="15"/>
      <c r="H31" s="19"/>
    </row>
    <row r="32" spans="1:8" x14ac:dyDescent="0.15">
      <c r="A32" s="18" t="s">
        <v>14</v>
      </c>
      <c r="B32" s="17">
        <f>('2018'!B32*Faktor!$B$7)+'2018'!B32</f>
        <v>5.9510822799999996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('2018'!B33*Faktor!$B$7)+'2018'!B33</f>
        <v>2.9649605831366226</v>
      </c>
      <c r="C33" s="15"/>
      <c r="D33" s="15"/>
      <c r="E33" s="15" t="s">
        <v>78</v>
      </c>
      <c r="F33" s="17">
        <v>5.15</v>
      </c>
      <c r="G33" s="15"/>
      <c r="H33" s="19"/>
    </row>
    <row r="34" spans="1:8" x14ac:dyDescent="0.15">
      <c r="A34" s="18" t="s">
        <v>16</v>
      </c>
      <c r="B34" s="17">
        <f>('2018'!B34*Faktor!$B$7)+'2018'!B34</f>
        <v>2.9649605831366226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('2018'!B35*Faktor!$B$7)+'2018'!B35</f>
        <v>2.9649605831366226</v>
      </c>
      <c r="C35" s="15"/>
      <c r="D35" s="15"/>
      <c r="E35" s="15" t="s">
        <v>76</v>
      </c>
      <c r="F35" s="17">
        <f>('2018'!F35*Faktor!$B$7)+'2018'!F35</f>
        <v>5.1050000000000004</v>
      </c>
      <c r="G35" s="15"/>
      <c r="H35" s="19"/>
    </row>
    <row r="36" spans="1:8" x14ac:dyDescent="0.15">
      <c r="A36" s="18" t="s">
        <v>18</v>
      </c>
      <c r="B36" s="17">
        <f>('2018'!B36*Faktor!$B$7)+'2018'!B36</f>
        <v>2.9649605831366226</v>
      </c>
      <c r="C36" s="15"/>
      <c r="D36" s="15"/>
      <c r="E36" s="15" t="s">
        <v>47</v>
      </c>
      <c r="F36" s="17">
        <f>('2018'!F36*Faktor!$B$7)+'2018'!F36</f>
        <v>8.5866100000000003</v>
      </c>
      <c r="G36" s="15"/>
      <c r="H36" s="19"/>
    </row>
    <row r="37" spans="1:8" x14ac:dyDescent="0.15">
      <c r="A37" s="18" t="s">
        <v>19</v>
      </c>
      <c r="B37" s="17">
        <f>('2018'!B37*Faktor!$B$7)+'2018'!B37</f>
        <v>2.9649605831366226</v>
      </c>
      <c r="C37" s="15"/>
      <c r="D37" s="15"/>
      <c r="E37" s="15" t="s">
        <v>81</v>
      </c>
      <c r="F37" s="17">
        <f>('2018'!F37*Faktor!$B$7)+'2018'!F37</f>
        <v>5.3092000000000006</v>
      </c>
      <c r="G37" s="15"/>
      <c r="H37" s="19"/>
    </row>
    <row r="38" spans="1:8" x14ac:dyDescent="0.15">
      <c r="A38" s="18"/>
      <c r="B38" s="17"/>
      <c r="C38" s="15"/>
      <c r="D38" s="15"/>
      <c r="E38" s="15" t="s">
        <v>82</v>
      </c>
      <c r="F38" s="17">
        <f>('2018'!F38*Faktor!$B$7)+'2018'!F38</f>
        <v>8.719339999999999</v>
      </c>
      <c r="G38" s="15"/>
      <c r="H38" s="19"/>
    </row>
    <row r="39" spans="1:8" x14ac:dyDescent="0.15">
      <c r="A39" s="18"/>
      <c r="B39" s="17"/>
      <c r="C39" s="15"/>
      <c r="D39" s="15"/>
      <c r="E39" s="15" t="s">
        <v>79</v>
      </c>
      <c r="F39" s="17">
        <f>('2018'!F39*Faktor!$B$7)+'2018'!F39</f>
        <v>255.86259999999999</v>
      </c>
      <c r="G39" s="15"/>
      <c r="H39" s="19"/>
    </row>
    <row r="40" spans="1:8" ht="13.5" thickBot="1" x14ac:dyDescent="0.2">
      <c r="A40" s="18"/>
      <c r="B40" s="17"/>
      <c r="C40" s="15"/>
      <c r="D40" s="15"/>
      <c r="E40" s="15" t="s">
        <v>80</v>
      </c>
      <c r="F40" s="17">
        <f>('2018'!F40*Faktor!$B$7)+'2018'!F40</f>
        <v>129.22797</v>
      </c>
      <c r="G40" s="33"/>
      <c r="H40" s="35"/>
    </row>
    <row r="41" spans="1:8" x14ac:dyDescent="0.15">
      <c r="A41" s="18" t="s">
        <v>68</v>
      </c>
      <c r="B41" s="17">
        <f>('2018'!B41*Faktor!$B$7)+'2018'!B41</f>
        <v>6.9290573400000008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f>('2018'!B42*Faktor!$B$7)+'2018'!B42</f>
        <v>8.6665236700000001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('2018'!F43*Faktor!$B$7)+'2018'!F43</f>
        <v>2.8995570408615507</v>
      </c>
      <c r="G43" s="15"/>
      <c r="H43" s="19"/>
    </row>
    <row r="44" spans="1:8" x14ac:dyDescent="0.15">
      <c r="A44" s="18" t="s">
        <v>59</v>
      </c>
      <c r="B44" s="17">
        <f>('2018'!B44*Faktor!$B$7)+'2018'!B44</f>
        <v>4.6505835299999996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f>('2018'!B45*Faktor!$B$7)+'2018'!B45</f>
        <v>9.3011670599999992</v>
      </c>
      <c r="C45" s="15"/>
      <c r="D45" s="12"/>
      <c r="E45" s="18" t="s">
        <v>58</v>
      </c>
      <c r="F45" s="17">
        <v>60.48</v>
      </c>
      <c r="G45" s="15"/>
      <c r="H45" s="19"/>
    </row>
    <row r="46" spans="1:8" x14ac:dyDescent="0.15">
      <c r="A46" s="18" t="s">
        <v>61</v>
      </c>
      <c r="B46" s="17">
        <f>('2018'!B46*Faktor!$B$7)+'2018'!B46</f>
        <v>13.95175059</v>
      </c>
      <c r="C46" s="15"/>
      <c r="D46" s="12"/>
      <c r="E46" s="18"/>
      <c r="F46" s="15"/>
      <c r="G46" s="15"/>
      <c r="H46" s="19"/>
    </row>
    <row r="47" spans="1:8" x14ac:dyDescent="0.15">
      <c r="A47" s="18" t="s">
        <v>62</v>
      </c>
      <c r="B47" s="17">
        <f>('2018'!B47*Faktor!$B$7)+'2018'!B47</f>
        <v>18.602334119999998</v>
      </c>
      <c r="C47" s="15"/>
      <c r="D47" s="12"/>
      <c r="E47" s="18"/>
      <c r="F47" s="15"/>
      <c r="G47" s="15"/>
      <c r="H47" s="19"/>
    </row>
    <row r="48" spans="1:8" x14ac:dyDescent="0.15">
      <c r="A48" s="18" t="s">
        <v>63</v>
      </c>
      <c r="B48" s="17">
        <f>('2018'!B48*Faktor!$B$7)+'2018'!B48</f>
        <v>23.252917650000001</v>
      </c>
      <c r="C48" s="15"/>
      <c r="D48" s="12"/>
      <c r="E48" s="18"/>
      <c r="F48" s="15"/>
      <c r="G48" s="15"/>
      <c r="H48" s="19"/>
    </row>
    <row r="49" spans="1:8" x14ac:dyDescent="0.15">
      <c r="A49" s="18" t="s">
        <v>64</v>
      </c>
      <c r="B49" s="17">
        <f>('2018'!B49*Faktor!$B$7)+'2018'!B49</f>
        <v>27.903501179999999</v>
      </c>
      <c r="C49" s="15"/>
      <c r="D49" s="12"/>
      <c r="E49" s="18" t="s">
        <v>83</v>
      </c>
      <c r="F49" s="15">
        <v>9.15</v>
      </c>
      <c r="G49" s="15"/>
      <c r="H49" s="19"/>
    </row>
    <row r="50" spans="1:8" x14ac:dyDescent="0.15">
      <c r="A50" s="18"/>
      <c r="B50" s="17"/>
      <c r="C50" s="15"/>
      <c r="D50" s="12"/>
      <c r="E50" s="18" t="s">
        <v>77</v>
      </c>
      <c r="F50" s="17"/>
      <c r="G50" s="15"/>
      <c r="H50" s="19"/>
    </row>
    <row r="51" spans="1:8" x14ac:dyDescent="0.15">
      <c r="A51" s="18" t="s">
        <v>65</v>
      </c>
      <c r="B51" s="17">
        <f>('2018'!B51*Faktor!$B$7)+'2018'!B51</f>
        <v>14.440738120000001</v>
      </c>
      <c r="C51" s="15"/>
      <c r="D51" s="12"/>
      <c r="E51" s="18" t="s">
        <v>36</v>
      </c>
      <c r="F51" s="17">
        <f>('2018'!F47*Faktor!$B$7)+'2018'!F47</f>
        <v>1.7767962318061377</v>
      </c>
      <c r="G51" s="15"/>
      <c r="H51" s="19"/>
    </row>
    <row r="52" spans="1:8" x14ac:dyDescent="0.15">
      <c r="A52" s="18"/>
      <c r="B52" s="17"/>
      <c r="C52" s="15"/>
      <c r="D52" s="12"/>
      <c r="E52" s="18" t="s">
        <v>37</v>
      </c>
      <c r="F52" s="17"/>
      <c r="G52" s="15"/>
      <c r="H52" s="19"/>
    </row>
    <row r="53" spans="1:8" ht="13.5" thickBot="1" x14ac:dyDescent="0.2">
      <c r="A53" s="26"/>
      <c r="B53" s="27"/>
      <c r="C53" s="28"/>
      <c r="D53" s="32"/>
      <c r="E53" s="26" t="s">
        <v>38</v>
      </c>
      <c r="F53" s="27"/>
      <c r="G53" s="28"/>
      <c r="H53" s="29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44F9-EB73-4F66-B55D-CE387B0CBAC7}">
  <dimension ref="A1:H61"/>
  <sheetViews>
    <sheetView zoomScale="140" zoomScaleNormal="140" workbookViewId="0">
      <selection sqref="A1:H61"/>
    </sheetView>
  </sheetViews>
  <sheetFormatPr defaultColWidth="8.8984375" defaultRowHeight="12.75" x14ac:dyDescent="0.15"/>
  <cols>
    <col min="1" max="1" width="17.93359375" customWidth="1"/>
    <col min="2" max="2" width="5.66015625" customWidth="1"/>
    <col min="3" max="4" width="8.8984375" customWidth="1"/>
    <col min="5" max="5" width="17.93359375" customWidth="1"/>
    <col min="6" max="6" width="6.47265625" customWidth="1"/>
  </cols>
  <sheetData>
    <row r="1" spans="1:8" ht="21" thickBot="1" x14ac:dyDescent="0.3">
      <c r="A1" s="99" t="s">
        <v>84</v>
      </c>
      <c r="B1" s="100"/>
      <c r="C1" s="100"/>
      <c r="D1" s="100"/>
      <c r="E1" s="100"/>
      <c r="F1" s="100"/>
      <c r="G1" s="100"/>
      <c r="H1" s="101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 t="s">
        <v>22</v>
      </c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5" t="s">
        <v>23</v>
      </c>
      <c r="B5" s="47"/>
      <c r="C5" s="48"/>
      <c r="D5" s="48"/>
      <c r="E5" s="48"/>
      <c r="F5" s="47" t="s">
        <v>44</v>
      </c>
      <c r="G5" s="47"/>
      <c r="H5" s="49"/>
    </row>
    <row r="6" spans="1:8" x14ac:dyDescent="0.15">
      <c r="A6" s="50"/>
      <c r="B6" s="102"/>
      <c r="C6" s="103"/>
      <c r="D6" s="103"/>
      <c r="E6" s="104"/>
      <c r="F6" s="15"/>
      <c r="G6" s="102"/>
      <c r="H6" s="108"/>
    </row>
    <row r="7" spans="1:8" ht="13.5" thickBot="1" x14ac:dyDescent="0.2">
      <c r="A7" s="26"/>
      <c r="B7" s="105"/>
      <c r="C7" s="106"/>
      <c r="D7" s="106"/>
      <c r="E7" s="107"/>
      <c r="F7" s="28"/>
      <c r="G7" s="105"/>
      <c r="H7" s="109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2.2999999999999998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f>('2019'!B11*Faktor!$B$8)+'2019'!B11</f>
        <v>2.29725</v>
      </c>
      <c r="C11" s="15"/>
      <c r="D11" s="15"/>
      <c r="E11" s="15" t="s">
        <v>49</v>
      </c>
      <c r="F11" s="17">
        <f>('2019'!F11*Faktor!$B$7)+'2019'!F11</f>
        <v>6.2672595361000001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f>('2019'!F12*Faktor!$B$7)+'2019'!F12</f>
        <v>6.2672595361000001</v>
      </c>
      <c r="G12" s="15"/>
      <c r="H12" s="19"/>
    </row>
    <row r="13" spans="1:8" x14ac:dyDescent="0.15">
      <c r="A13" s="18" t="s">
        <v>53</v>
      </c>
      <c r="B13" s="17">
        <f>('2019'!B13*Faktor!$B$8)+'2019'!B13</f>
        <v>1.53238827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44"/>
      <c r="F14" s="17"/>
      <c r="G14" s="15"/>
      <c r="H14" s="19"/>
    </row>
    <row r="15" spans="1:8" x14ac:dyDescent="0.15">
      <c r="A15" s="18" t="s">
        <v>1</v>
      </c>
      <c r="B15" s="17">
        <f>('2019'!B15*Faktor!$B$8)+'2019'!B15</f>
        <v>35.171010718689999</v>
      </c>
      <c r="C15" s="15"/>
      <c r="D15" s="15"/>
      <c r="E15" s="15" t="s">
        <v>69</v>
      </c>
      <c r="F15" s="17">
        <f>('2019'!F15*Faktor!$B$7)+'2019'!F15</f>
        <v>4.4189490966399996</v>
      </c>
      <c r="G15" s="15"/>
      <c r="H15" s="19"/>
    </row>
    <row r="16" spans="1:8" x14ac:dyDescent="0.15">
      <c r="A16" s="18" t="s">
        <v>2</v>
      </c>
      <c r="B16" s="17">
        <f>('2019'!B16*Faktor!$B$8)+'2019'!B16</f>
        <v>23.454422128319997</v>
      </c>
      <c r="C16" s="15"/>
      <c r="D16" s="15"/>
      <c r="E16" s="15" t="s">
        <v>24</v>
      </c>
      <c r="F16" s="17">
        <f>('2019'!F16*Faktor!$B$7)+'2019'!F16</f>
        <v>5.2262571046800002</v>
      </c>
      <c r="G16" s="15"/>
      <c r="H16" s="19"/>
    </row>
    <row r="17" spans="1:8" x14ac:dyDescent="0.15">
      <c r="A17" s="18" t="s">
        <v>3</v>
      </c>
      <c r="B17" s="17">
        <f>('2019'!B17*Faktor!$B$8)+'2019'!B17</f>
        <v>17.601439070030001</v>
      </c>
      <c r="C17" s="15"/>
      <c r="D17" s="15"/>
      <c r="E17" s="15" t="s">
        <v>54</v>
      </c>
      <c r="F17" s="17">
        <f>('2019'!F17*Faktor!$B$7)+'2019'!F17</f>
        <v>5.4174616328999994</v>
      </c>
      <c r="G17" s="15"/>
      <c r="H17" s="19"/>
    </row>
    <row r="18" spans="1:8" x14ac:dyDescent="0.15">
      <c r="A18" s="18" t="s">
        <v>52</v>
      </c>
      <c r="B18" s="17">
        <f>('2019'!B18*Faktor!$B$8)+'2019'!B18</f>
        <v>11.716588590369998</v>
      </c>
      <c r="C18" s="15"/>
      <c r="D18" s="15"/>
      <c r="E18" s="15" t="s">
        <v>55</v>
      </c>
      <c r="F18" s="17">
        <f>('2019'!F18*Faktor!$B$7)+'2019'!F18</f>
        <v>0.98789006247</v>
      </c>
      <c r="G18" s="15"/>
      <c r="H18" s="19"/>
    </row>
    <row r="19" spans="1:8" x14ac:dyDescent="0.15">
      <c r="A19" s="18" t="s">
        <v>4</v>
      </c>
      <c r="B19" s="17">
        <f>('2019'!B19*Faktor!$B$8)+'2019'!B19</f>
        <v>5.8529830582899987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f>('2019'!F20*Faktor!$B$7)+'2019'!F20</f>
        <v>3.0805173991000001</v>
      </c>
      <c r="G20" s="15"/>
      <c r="H20" s="19"/>
    </row>
    <row r="21" spans="1:8" x14ac:dyDescent="0.15">
      <c r="A21" s="18" t="s">
        <v>5</v>
      </c>
      <c r="B21" s="17">
        <f>('2019'!B21*Faktor!$B$8)+'2019'!B21</f>
        <v>20.586354205020001</v>
      </c>
      <c r="C21" s="15"/>
      <c r="D21" s="15"/>
      <c r="E21" s="15"/>
      <c r="F21" s="17"/>
      <c r="G21" s="15"/>
      <c r="H21" s="19"/>
    </row>
    <row r="22" spans="1:8" x14ac:dyDescent="0.15">
      <c r="A22" s="18" t="s">
        <v>6</v>
      </c>
      <c r="B22" s="17">
        <f>('2019'!B22*Faktor!$B$8)+'2019'!B22</f>
        <v>12.90630565485</v>
      </c>
      <c r="C22" s="15"/>
      <c r="D22" s="15"/>
      <c r="E22" s="15"/>
      <c r="F22" s="17"/>
      <c r="G22" s="15"/>
      <c r="H22" s="19"/>
    </row>
    <row r="23" spans="1:8" x14ac:dyDescent="0.15">
      <c r="A23" s="18" t="s">
        <v>7</v>
      </c>
      <c r="B23" s="17">
        <f>('2019'!B23*Faktor!$B$8)+'2019'!B23</f>
        <v>8.7316734553800011</v>
      </c>
      <c r="C23" s="15"/>
      <c r="D23" s="15"/>
      <c r="E23" s="15" t="s">
        <v>26</v>
      </c>
      <c r="F23" s="17">
        <f>('2019'!F23*Faktor!$B$7)+'2019'!F23</f>
        <v>3.4416815079600003</v>
      </c>
      <c r="G23" s="15"/>
      <c r="H23" s="19"/>
    </row>
    <row r="24" spans="1:8" x14ac:dyDescent="0.15">
      <c r="A24" s="18" t="s">
        <v>72</v>
      </c>
      <c r="B24" s="17">
        <f>('2019'!B24*Faktor!$B$8)+'2019'!B24</f>
        <v>8.7316734553800011</v>
      </c>
      <c r="C24" s="15"/>
      <c r="D24" s="15"/>
      <c r="E24" s="15" t="s">
        <v>27</v>
      </c>
      <c r="F24" s="17">
        <f>('2019'!F24*Faktor!$B$7)+'2019'!F24</f>
        <v>3.4416815079600003</v>
      </c>
      <c r="G24" s="15"/>
      <c r="H24" s="19"/>
    </row>
    <row r="25" spans="1:8" x14ac:dyDescent="0.15">
      <c r="A25" s="18" t="s">
        <v>8</v>
      </c>
      <c r="B25" s="17">
        <f>('2019'!B25*Faktor!$B$8)+'2019'!B25</f>
        <v>5.2262571046800002</v>
      </c>
      <c r="C25" s="15"/>
      <c r="D25" s="15"/>
      <c r="E25" s="15" t="s">
        <v>28</v>
      </c>
      <c r="F25" s="17">
        <f>('2019'!F25*Faktor!$B$7)+'2019'!F25</f>
        <v>3.4416815079600003</v>
      </c>
      <c r="G25" s="15"/>
      <c r="H25" s="19"/>
    </row>
    <row r="26" spans="1:8" x14ac:dyDescent="0.15">
      <c r="A26" s="18" t="s">
        <v>9</v>
      </c>
      <c r="B26" s="17">
        <f>('2019'!B26*Faktor!$B$8)+'2019'!B26</f>
        <v>5.2262571046800002</v>
      </c>
      <c r="C26" s="15"/>
      <c r="D26" s="15"/>
      <c r="E26" s="15" t="s">
        <v>29</v>
      </c>
      <c r="F26" s="17">
        <f>('2019'!F26*Faktor!$B$7)+'2019'!F26</f>
        <v>3.4416815079600003</v>
      </c>
      <c r="G26" s="15"/>
      <c r="H26" s="19"/>
    </row>
    <row r="27" spans="1:8" x14ac:dyDescent="0.15">
      <c r="A27" s="18" t="s">
        <v>10</v>
      </c>
      <c r="B27" s="17">
        <f>('2019'!B27*Faktor!$B$8)+'2019'!B27</f>
        <v>5.2262571046800002</v>
      </c>
      <c r="C27" s="15"/>
      <c r="D27" s="15"/>
      <c r="E27" s="15" t="s">
        <v>30</v>
      </c>
      <c r="F27" s="17">
        <f>('2019'!F27*Faktor!$B$7)+'2019'!F27</f>
        <v>3.4416815079600003</v>
      </c>
      <c r="G27" s="15"/>
      <c r="H27" s="19"/>
    </row>
    <row r="28" spans="1:8" x14ac:dyDescent="0.15">
      <c r="A28" s="18" t="s">
        <v>11</v>
      </c>
      <c r="B28" s="17">
        <f>('2019'!B28*Faktor!$B$8)+'2019'!B28</f>
        <v>5.2262571046800002</v>
      </c>
      <c r="C28" s="15"/>
      <c r="D28" s="15"/>
      <c r="E28" s="15" t="s">
        <v>31</v>
      </c>
      <c r="F28" s="17">
        <f>('2019'!F28*Faktor!$B$7)+'2019'!F28</f>
        <v>3.4416815079600003</v>
      </c>
      <c r="G28" s="15"/>
      <c r="H28" s="19"/>
    </row>
    <row r="29" spans="1:8" x14ac:dyDescent="0.15">
      <c r="A29" s="18" t="s">
        <v>12</v>
      </c>
      <c r="B29" s="17">
        <f>('2019'!B29*Faktor!$B$8)+'2019'!B29</f>
        <v>5.2262571046800002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f>('2019'!F30*Faktor!$B$7)+'2019'!F30</f>
        <v>2.4484906109711337</v>
      </c>
      <c r="G30" s="15"/>
      <c r="H30" s="19"/>
    </row>
    <row r="31" spans="1:8" x14ac:dyDescent="0.15">
      <c r="A31" s="18" t="s">
        <v>13</v>
      </c>
      <c r="B31" s="17">
        <f>('2019'!B31*Faktor!$B$8)+'2019'!B31</f>
        <v>10.643718737579999</v>
      </c>
      <c r="C31" s="15"/>
      <c r="D31" s="15"/>
      <c r="E31" s="37" t="s">
        <v>67</v>
      </c>
      <c r="F31" s="17">
        <f>('2019'!F31*Faktor!$B$7)+'2019'!F31</f>
        <v>5.9060954272400004</v>
      </c>
      <c r="G31" s="15"/>
      <c r="H31" s="19"/>
    </row>
    <row r="32" spans="1:8" x14ac:dyDescent="0.15">
      <c r="A32" s="18" t="s">
        <v>14</v>
      </c>
      <c r="B32" s="17">
        <f>('2019'!B32*Faktor!$B$8)+'2019'!B32</f>
        <v>6.07605500788</v>
      </c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f>('2019'!B33*Faktor!$B$8)+'2019'!B33</f>
        <v>3.0272247553824916</v>
      </c>
      <c r="C33" s="15"/>
      <c r="D33" s="15"/>
      <c r="E33" s="15" t="s">
        <v>78</v>
      </c>
      <c r="F33" s="17">
        <f>('2019'!F33*Faktor!$B$7)+'2019'!F33</f>
        <v>5.2581500000000005</v>
      </c>
      <c r="G33" s="15"/>
      <c r="H33" s="19"/>
    </row>
    <row r="34" spans="1:8" x14ac:dyDescent="0.15">
      <c r="A34" s="18" t="s">
        <v>16</v>
      </c>
      <c r="B34" s="17">
        <f>('2019'!B34*Faktor!$B$8)+'2019'!B34</f>
        <v>3.0272247553824916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f>('2019'!B35*Faktor!$B$8)+'2019'!B35</f>
        <v>3.0272247553824916</v>
      </c>
      <c r="C35" s="15"/>
      <c r="D35" s="15"/>
      <c r="E35" s="15" t="s">
        <v>76</v>
      </c>
      <c r="F35" s="17">
        <f>('2019'!F35*Faktor!$B$7)+'2019'!F35</f>
        <v>5.2122050000000009</v>
      </c>
      <c r="G35" s="15"/>
      <c r="H35" s="19"/>
    </row>
    <row r="36" spans="1:8" x14ac:dyDescent="0.15">
      <c r="A36" s="18" t="s">
        <v>18</v>
      </c>
      <c r="B36" s="17">
        <f>('2019'!B36*Faktor!$B$8)+'2019'!B36</f>
        <v>3.0272247553824916</v>
      </c>
      <c r="C36" s="15"/>
      <c r="D36" s="15"/>
      <c r="E36" s="15" t="s">
        <v>47</v>
      </c>
      <c r="F36" s="17">
        <f>('2019'!F36*Faktor!$B$7)+'2019'!F36</f>
        <v>8.7669288099999996</v>
      </c>
      <c r="G36" s="15"/>
      <c r="H36" s="19"/>
    </row>
    <row r="37" spans="1:8" x14ac:dyDescent="0.15">
      <c r="A37" s="18" t="s">
        <v>19</v>
      </c>
      <c r="B37" s="17">
        <f>('2019'!B37*Faktor!$B$8)+'2019'!B37</f>
        <v>3.0272247553824916</v>
      </c>
      <c r="C37" s="15"/>
      <c r="D37" s="15"/>
      <c r="E37" s="15" t="s">
        <v>81</v>
      </c>
      <c r="F37" s="17">
        <f>('2019'!F37*Faktor!$B$7)+'2019'!F37</f>
        <v>5.4206932000000005</v>
      </c>
      <c r="G37" s="15"/>
      <c r="H37" s="19"/>
    </row>
    <row r="38" spans="1:8" x14ac:dyDescent="0.15">
      <c r="A38" s="18"/>
      <c r="B38" s="17"/>
      <c r="C38" s="15"/>
      <c r="D38" s="15"/>
      <c r="E38" s="15" t="s">
        <v>82</v>
      </c>
      <c r="F38" s="17">
        <f>('2019'!F38*Faktor!$B$7)+'2019'!F38</f>
        <v>8.9024461399999986</v>
      </c>
      <c r="G38" s="15"/>
      <c r="H38" s="19"/>
    </row>
    <row r="39" spans="1:8" x14ac:dyDescent="0.15">
      <c r="A39" s="18"/>
      <c r="B39" s="17"/>
      <c r="C39" s="15"/>
      <c r="D39" s="15"/>
      <c r="E39" s="15" t="s">
        <v>79</v>
      </c>
      <c r="F39" s="17">
        <f>('2019'!F39*Faktor!$B$7)+'2019'!F39</f>
        <v>261.23571459999999</v>
      </c>
      <c r="G39" s="15"/>
      <c r="H39" s="19"/>
    </row>
    <row r="40" spans="1:8" ht="13.5" thickBot="1" x14ac:dyDescent="0.2">
      <c r="A40" s="18"/>
      <c r="B40" s="17"/>
      <c r="C40" s="15"/>
      <c r="D40" s="15"/>
      <c r="E40" s="33" t="s">
        <v>80</v>
      </c>
      <c r="F40" s="34">
        <f>('2019'!F40*Faktor!$B$7)+'2019'!F40</f>
        <v>131.94175737</v>
      </c>
      <c r="G40" s="33"/>
      <c r="H40" s="35"/>
    </row>
    <row r="41" spans="1:8" x14ac:dyDescent="0.15">
      <c r="A41" s="18" t="s">
        <v>68</v>
      </c>
      <c r="B41" s="17">
        <f>('2019'!B41*Faktor!$B$8)+'2019'!B41</f>
        <v>7.0745675441400007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f>('2019'!B42*Faktor!$B$8)+'2019'!B42</f>
        <v>8.8485206670699998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f>('2019'!F43*Faktor!$B$7)+'2019'!F43</f>
        <v>2.9604477387196435</v>
      </c>
      <c r="G43" s="15"/>
      <c r="H43" s="19"/>
    </row>
    <row r="44" spans="1:8" x14ac:dyDescent="0.15">
      <c r="A44" s="18" t="s">
        <v>59</v>
      </c>
      <c r="B44" s="17">
        <f>('2019'!B44*Faktor!$B$8)+'2019'!B44</f>
        <v>4.7482457841299999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f>('2019'!B45*Faktor!$B$8)+'2019'!B45</f>
        <v>9.4964915682599997</v>
      </c>
      <c r="C45" s="15"/>
      <c r="D45" s="12"/>
      <c r="E45" s="18" t="s">
        <v>58</v>
      </c>
      <c r="F45" s="17">
        <f>('2019'!F45*Faktor!$B$7)+'2019'!F45</f>
        <v>61.750079999999997</v>
      </c>
      <c r="G45" s="15"/>
      <c r="H45" s="19"/>
    </row>
    <row r="46" spans="1:8" x14ac:dyDescent="0.15">
      <c r="A46" s="18" t="s">
        <v>61</v>
      </c>
      <c r="B46" s="17">
        <f>('2019'!B46*Faktor!$B$8)+'2019'!B46</f>
        <v>14.24473735239</v>
      </c>
      <c r="C46" s="15"/>
      <c r="D46" s="12"/>
      <c r="E46" s="18"/>
      <c r="F46" s="17"/>
      <c r="G46" s="15"/>
      <c r="H46" s="19"/>
    </row>
    <row r="47" spans="1:8" x14ac:dyDescent="0.15">
      <c r="A47" s="18" t="s">
        <v>62</v>
      </c>
      <c r="B47" s="17">
        <v>18.989999999999998</v>
      </c>
      <c r="C47" s="15"/>
      <c r="D47" s="12"/>
      <c r="E47" s="18"/>
      <c r="F47" s="17"/>
      <c r="G47" s="15"/>
      <c r="H47" s="19"/>
    </row>
    <row r="48" spans="1:8" x14ac:dyDescent="0.15">
      <c r="A48" s="18" t="s">
        <v>63</v>
      </c>
      <c r="B48" s="17">
        <v>23.74</v>
      </c>
      <c r="C48" s="15"/>
      <c r="D48" s="12"/>
      <c r="E48" s="18"/>
      <c r="F48" s="17"/>
      <c r="G48" s="15"/>
      <c r="H48" s="19"/>
    </row>
    <row r="49" spans="1:8" x14ac:dyDescent="0.15">
      <c r="A49" s="18" t="s">
        <v>64</v>
      </c>
      <c r="B49" s="17">
        <v>28.49</v>
      </c>
      <c r="C49" s="15"/>
      <c r="D49" s="12"/>
      <c r="E49" s="18"/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/>
      <c r="B51" s="17"/>
      <c r="C51" s="15"/>
      <c r="D51" s="12"/>
      <c r="E51" s="18" t="s">
        <v>83</v>
      </c>
      <c r="F51" s="17">
        <v>9.15</v>
      </c>
      <c r="G51" s="15"/>
      <c r="H51" s="19"/>
    </row>
    <row r="52" spans="1:8" x14ac:dyDescent="0.15">
      <c r="A52" s="18"/>
      <c r="B52" s="17"/>
      <c r="C52" s="15"/>
      <c r="D52" s="12"/>
      <c r="E52" s="18" t="s">
        <v>77</v>
      </c>
      <c r="F52" s="17">
        <v>4.42</v>
      </c>
      <c r="G52" s="15"/>
      <c r="H52" s="19"/>
    </row>
    <row r="53" spans="1:8" x14ac:dyDescent="0.15">
      <c r="A53" s="18" t="s">
        <v>65</v>
      </c>
      <c r="B53" s="17">
        <f>('2019'!B51*Faktor!$B$8)+'2019'!B51</f>
        <v>14.743993620520001</v>
      </c>
      <c r="C53" s="15"/>
      <c r="D53" s="12"/>
      <c r="E53" s="18" t="s">
        <v>36</v>
      </c>
      <c r="F53" s="17">
        <f>('2019'!F51*Faktor!$B$7)+'2019'!F51</f>
        <v>1.8141089526740666</v>
      </c>
      <c r="G53" s="15"/>
      <c r="H53" s="19"/>
    </row>
    <row r="54" spans="1:8" x14ac:dyDescent="0.15">
      <c r="A54" s="18"/>
      <c r="B54" s="17"/>
      <c r="C54" s="15"/>
      <c r="D54" s="12"/>
      <c r="E54" s="18" t="s">
        <v>37</v>
      </c>
      <c r="F54" s="17"/>
      <c r="G54" s="15"/>
      <c r="H54" s="19"/>
    </row>
    <row r="55" spans="1:8" ht="13.5" thickBot="1" x14ac:dyDescent="0.2">
      <c r="A55" s="26"/>
      <c r="B55" s="27"/>
      <c r="C55" s="28"/>
      <c r="D55" s="32"/>
      <c r="E55" s="26" t="s">
        <v>38</v>
      </c>
      <c r="F55" s="27"/>
      <c r="G55" s="28"/>
      <c r="H55" s="29"/>
    </row>
    <row r="56" spans="1:8" x14ac:dyDescent="0.15">
      <c r="A56" s="20" t="s">
        <v>85</v>
      </c>
      <c r="B56" s="21"/>
      <c r="C56" s="21"/>
      <c r="D56" s="21"/>
      <c r="E56" s="21"/>
      <c r="F56" s="21"/>
      <c r="G56" s="21"/>
      <c r="H56" s="22"/>
    </row>
    <row r="57" spans="1:8" x14ac:dyDescent="0.15">
      <c r="A57" s="51"/>
      <c r="B57" s="44"/>
      <c r="C57" s="44"/>
      <c r="D57" s="44"/>
      <c r="E57" s="44"/>
      <c r="F57" s="44"/>
      <c r="G57" s="44"/>
      <c r="H57" s="46"/>
    </row>
    <row r="58" spans="1:8" x14ac:dyDescent="0.15">
      <c r="A58" s="51"/>
      <c r="B58" s="44"/>
      <c r="C58" s="44"/>
      <c r="D58" s="44"/>
      <c r="E58" s="44"/>
      <c r="F58" s="44"/>
      <c r="G58" s="44"/>
      <c r="H58" s="46"/>
    </row>
    <row r="59" spans="1:8" x14ac:dyDescent="0.15">
      <c r="A59" s="51"/>
      <c r="B59" s="44"/>
      <c r="C59" s="44"/>
      <c r="D59" s="44"/>
      <c r="E59" s="44"/>
      <c r="F59" s="44"/>
      <c r="G59" s="44"/>
      <c r="H59" s="46"/>
    </row>
    <row r="60" spans="1:8" x14ac:dyDescent="0.15">
      <c r="A60" s="51"/>
      <c r="B60" s="44"/>
      <c r="C60" s="44"/>
      <c r="D60" s="44"/>
      <c r="E60" s="44"/>
      <c r="F60" s="44"/>
      <c r="G60" s="44"/>
      <c r="H60" s="46"/>
    </row>
    <row r="61" spans="1:8" ht="13.5" thickBot="1" x14ac:dyDescent="0.2">
      <c r="A61" s="52"/>
      <c r="B61" s="2"/>
      <c r="C61" s="2"/>
      <c r="D61" s="2"/>
      <c r="E61" s="2"/>
      <c r="F61" s="2"/>
      <c r="G61" s="2"/>
      <c r="H61" s="3"/>
    </row>
  </sheetData>
  <mergeCells count="5">
    <mergeCell ref="A1:H1"/>
    <mergeCell ref="B6:E6"/>
    <mergeCell ref="B7:E7"/>
    <mergeCell ref="G6:H6"/>
    <mergeCell ref="G7:H7"/>
  </mergeCells>
  <pageMargins left="0.82677165354330717" right="0.23622047244094491" top="0.35433070866141736" bottom="0.35433070866141736" header="0.31496062992125984" footer="0.31496062992125984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67A9-E8CE-487E-8240-3BD2AB33075F}">
  <dimension ref="A1:H61"/>
  <sheetViews>
    <sheetView zoomScale="140" zoomScaleNormal="140" workbookViewId="0">
      <selection sqref="A1:H61"/>
    </sheetView>
  </sheetViews>
  <sheetFormatPr defaultColWidth="8.8984375" defaultRowHeight="12.75" x14ac:dyDescent="0.15"/>
  <cols>
    <col min="1" max="1" width="17.93359375" customWidth="1"/>
    <col min="2" max="2" width="5.66015625" customWidth="1"/>
    <col min="3" max="4" width="8.8984375" customWidth="1"/>
    <col min="5" max="5" width="17.93359375" customWidth="1"/>
    <col min="6" max="6" width="6.47265625" customWidth="1"/>
  </cols>
  <sheetData>
    <row r="1" spans="1:8" ht="21" thickBot="1" x14ac:dyDescent="0.3">
      <c r="A1" s="99" t="s">
        <v>86</v>
      </c>
      <c r="B1" s="100"/>
      <c r="C1" s="100"/>
      <c r="D1" s="100"/>
      <c r="E1" s="100"/>
      <c r="F1" s="100"/>
      <c r="G1" s="100"/>
      <c r="H1" s="101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 t="s">
        <v>22</v>
      </c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5" t="s">
        <v>23</v>
      </c>
      <c r="B5" s="47"/>
      <c r="C5" s="48"/>
      <c r="D5" s="48"/>
      <c r="E5" s="48"/>
      <c r="F5" s="47" t="s">
        <v>44</v>
      </c>
      <c r="G5" s="47"/>
      <c r="H5" s="49"/>
    </row>
    <row r="6" spans="1:8" x14ac:dyDescent="0.15">
      <c r="A6" s="50"/>
      <c r="B6" s="102"/>
      <c r="C6" s="103"/>
      <c r="D6" s="103"/>
      <c r="E6" s="104"/>
      <c r="F6" s="15"/>
      <c r="G6" s="102"/>
      <c r="H6" s="108"/>
    </row>
    <row r="7" spans="1:8" ht="13.5" thickBot="1" x14ac:dyDescent="0.2">
      <c r="A7" s="26"/>
      <c r="B7" s="105"/>
      <c r="C7" s="106"/>
      <c r="D7" s="106"/>
      <c r="E7" s="107"/>
      <c r="F7" s="28"/>
      <c r="G7" s="105"/>
      <c r="H7" s="109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2.36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2.36</v>
      </c>
      <c r="C11" s="15"/>
      <c r="D11" s="15"/>
      <c r="E11" s="15" t="s">
        <v>49</v>
      </c>
      <c r="F11" s="17">
        <v>6.4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v>6.4</v>
      </c>
      <c r="G12" s="15"/>
      <c r="H12" s="19"/>
    </row>
    <row r="13" spans="1:8" x14ac:dyDescent="0.15">
      <c r="A13" s="18" t="s">
        <v>53</v>
      </c>
      <c r="B13" s="17">
        <v>1.56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44"/>
      <c r="F14" s="17"/>
      <c r="G14" s="15"/>
      <c r="H14" s="19"/>
    </row>
    <row r="15" spans="1:8" x14ac:dyDescent="0.15">
      <c r="A15" s="18" t="s">
        <v>1</v>
      </c>
      <c r="B15" s="17">
        <v>35.909999999999997</v>
      </c>
      <c r="C15" s="15"/>
      <c r="D15" s="15"/>
      <c r="E15" s="15" t="s">
        <v>69</v>
      </c>
      <c r="F15" s="17">
        <f>('2019'!F15*Faktor!$B$7)+'2019'!F15</f>
        <v>4.4189490966399996</v>
      </c>
      <c r="G15" s="15"/>
      <c r="H15" s="19"/>
    </row>
    <row r="16" spans="1:8" x14ac:dyDescent="0.15">
      <c r="A16" s="18" t="s">
        <v>2</v>
      </c>
      <c r="B16" s="17">
        <v>23.94</v>
      </c>
      <c r="C16" s="15"/>
      <c r="D16" s="15"/>
      <c r="E16" s="15" t="s">
        <v>24</v>
      </c>
      <c r="F16" s="17">
        <v>5.34</v>
      </c>
      <c r="G16" s="15"/>
      <c r="H16" s="19"/>
    </row>
    <row r="17" spans="1:8" x14ac:dyDescent="0.15">
      <c r="A17" s="18" t="s">
        <v>3</v>
      </c>
      <c r="B17" s="17">
        <v>17.97</v>
      </c>
      <c r="C17" s="15"/>
      <c r="D17" s="15"/>
      <c r="E17" s="15" t="s">
        <v>54</v>
      </c>
      <c r="F17" s="17">
        <v>5.53</v>
      </c>
      <c r="G17" s="15"/>
      <c r="H17" s="19"/>
    </row>
    <row r="18" spans="1:8" x14ac:dyDescent="0.15">
      <c r="A18" s="18" t="s">
        <v>52</v>
      </c>
      <c r="B18" s="17">
        <v>11.97</v>
      </c>
      <c r="C18" s="15"/>
      <c r="D18" s="15"/>
      <c r="E18" s="15" t="s">
        <v>55</v>
      </c>
      <c r="F18" s="17">
        <v>1.01</v>
      </c>
      <c r="G18" s="15"/>
      <c r="H18" s="19"/>
    </row>
    <row r="19" spans="1:8" x14ac:dyDescent="0.15">
      <c r="A19" s="18" t="s">
        <v>4</v>
      </c>
      <c r="B19" s="17">
        <v>5.97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v>3.98</v>
      </c>
      <c r="G20" s="15"/>
      <c r="H20" s="19"/>
    </row>
    <row r="21" spans="1:8" x14ac:dyDescent="0.15">
      <c r="A21" s="18"/>
      <c r="B21" s="17"/>
      <c r="C21" s="15"/>
      <c r="D21" s="15"/>
      <c r="E21" s="15" t="s">
        <v>89</v>
      </c>
      <c r="F21" s="17">
        <v>34.32</v>
      </c>
      <c r="G21" s="15"/>
      <c r="H21" s="19"/>
    </row>
    <row r="22" spans="1:8" x14ac:dyDescent="0.15">
      <c r="A22" s="18"/>
      <c r="B22" s="17"/>
      <c r="C22" s="15"/>
      <c r="D22" s="15"/>
      <c r="E22" s="15" t="s">
        <v>90</v>
      </c>
      <c r="F22" s="17">
        <v>63.17</v>
      </c>
      <c r="G22" s="15"/>
      <c r="H22" s="19"/>
    </row>
    <row r="23" spans="1:8" x14ac:dyDescent="0.15">
      <c r="A23" s="18" t="s">
        <v>7</v>
      </c>
      <c r="B23" s="17">
        <v>8.91</v>
      </c>
      <c r="C23" s="15"/>
      <c r="D23" s="15"/>
      <c r="E23" s="15" t="s">
        <v>26</v>
      </c>
      <c r="F23" s="17">
        <v>3.51</v>
      </c>
      <c r="G23" s="15"/>
      <c r="H23" s="19"/>
    </row>
    <row r="24" spans="1:8" x14ac:dyDescent="0.15">
      <c r="A24" s="18" t="s">
        <v>72</v>
      </c>
      <c r="B24" s="17">
        <v>8.91</v>
      </c>
      <c r="C24" s="15"/>
      <c r="D24" s="15"/>
      <c r="E24" s="15" t="s">
        <v>27</v>
      </c>
      <c r="F24" s="17">
        <v>3.51</v>
      </c>
      <c r="G24" s="15"/>
      <c r="H24" s="19"/>
    </row>
    <row r="25" spans="1:8" x14ac:dyDescent="0.15">
      <c r="A25" s="18" t="s">
        <v>8</v>
      </c>
      <c r="B25" s="17">
        <v>5.34</v>
      </c>
      <c r="C25" s="15"/>
      <c r="D25" s="15"/>
      <c r="E25" s="15" t="s">
        <v>28</v>
      </c>
      <c r="F25" s="17">
        <v>3.51</v>
      </c>
      <c r="G25" s="15"/>
      <c r="H25" s="19"/>
    </row>
    <row r="26" spans="1:8" x14ac:dyDescent="0.15">
      <c r="A26" s="18" t="s">
        <v>9</v>
      </c>
      <c r="B26" s="17">
        <v>5.34</v>
      </c>
      <c r="C26" s="15"/>
      <c r="D26" s="15"/>
      <c r="E26" s="15" t="s">
        <v>29</v>
      </c>
      <c r="F26" s="17">
        <v>3.51</v>
      </c>
      <c r="G26" s="15"/>
      <c r="H26" s="19"/>
    </row>
    <row r="27" spans="1:8" x14ac:dyDescent="0.15">
      <c r="A27" s="18" t="s">
        <v>10</v>
      </c>
      <c r="B27" s="17">
        <v>5.34</v>
      </c>
      <c r="C27" s="15"/>
      <c r="D27" s="15"/>
      <c r="E27" s="15" t="s">
        <v>30</v>
      </c>
      <c r="F27" s="17">
        <v>3.51</v>
      </c>
      <c r="G27" s="15"/>
      <c r="H27" s="19"/>
    </row>
    <row r="28" spans="1:8" x14ac:dyDescent="0.15">
      <c r="A28" s="18" t="s">
        <v>11</v>
      </c>
      <c r="B28" s="17">
        <v>5.34</v>
      </c>
      <c r="C28" s="15"/>
      <c r="D28" s="15"/>
      <c r="E28" s="15" t="s">
        <v>31</v>
      </c>
      <c r="F28" s="17">
        <v>3.51</v>
      </c>
      <c r="G28" s="15"/>
      <c r="H28" s="19"/>
    </row>
    <row r="29" spans="1:8" x14ac:dyDescent="0.15">
      <c r="A29" s="18" t="s">
        <v>12</v>
      </c>
      <c r="B29" s="17">
        <v>5.34</v>
      </c>
      <c r="C29" s="15"/>
      <c r="D29" s="15"/>
      <c r="E29" s="15"/>
      <c r="F29" s="17"/>
      <c r="G29" s="15"/>
      <c r="H29" s="19"/>
    </row>
    <row r="30" spans="1:8" x14ac:dyDescent="0.15">
      <c r="A30" s="18"/>
      <c r="B30" s="17"/>
      <c r="C30" s="15"/>
      <c r="D30" s="15"/>
      <c r="E30" s="37" t="s">
        <v>66</v>
      </c>
      <c r="F30" s="17">
        <v>2.5</v>
      </c>
      <c r="G30" s="15"/>
      <c r="H30" s="19"/>
    </row>
    <row r="31" spans="1:8" x14ac:dyDescent="0.15">
      <c r="A31" s="18"/>
      <c r="B31" s="17"/>
      <c r="C31" s="15"/>
      <c r="D31" s="15"/>
      <c r="E31" s="37" t="s">
        <v>67</v>
      </c>
      <c r="F31" s="17">
        <v>6.03</v>
      </c>
      <c r="G31" s="15"/>
      <c r="H31" s="19"/>
    </row>
    <row r="32" spans="1:8" x14ac:dyDescent="0.15">
      <c r="A32" s="18"/>
      <c r="B32" s="17"/>
      <c r="C32" s="15"/>
      <c r="D32" s="15"/>
      <c r="E32" s="15"/>
      <c r="F32" s="17"/>
      <c r="G32" s="15"/>
      <c r="H32" s="19"/>
    </row>
    <row r="33" spans="1:8" x14ac:dyDescent="0.15">
      <c r="A33" s="18" t="s">
        <v>15</v>
      </c>
      <c r="B33" s="17">
        <v>3.1</v>
      </c>
      <c r="C33" s="15"/>
      <c r="D33" s="15"/>
      <c r="E33" s="15" t="s">
        <v>78</v>
      </c>
      <c r="F33" s="17">
        <v>5.46</v>
      </c>
      <c r="G33" s="15"/>
      <c r="H33" s="19"/>
    </row>
    <row r="34" spans="1:8" x14ac:dyDescent="0.15">
      <c r="A34" s="18" t="s">
        <v>16</v>
      </c>
      <c r="B34" s="17">
        <v>3.1</v>
      </c>
      <c r="C34" s="15"/>
      <c r="D34" s="15"/>
      <c r="E34" s="15"/>
      <c r="F34" s="17"/>
      <c r="G34" s="15"/>
      <c r="H34" s="19"/>
    </row>
    <row r="35" spans="1:8" x14ac:dyDescent="0.15">
      <c r="A35" s="18" t="s">
        <v>17</v>
      </c>
      <c r="B35" s="17">
        <v>3.1</v>
      </c>
      <c r="C35" s="15"/>
      <c r="D35" s="15"/>
      <c r="E35" s="15" t="s">
        <v>76</v>
      </c>
      <c r="F35" s="17">
        <v>5</v>
      </c>
      <c r="G35" s="15"/>
      <c r="H35" s="19"/>
    </row>
    <row r="36" spans="1:8" x14ac:dyDescent="0.15">
      <c r="A36" s="18" t="s">
        <v>18</v>
      </c>
      <c r="B36" s="17">
        <v>3.1</v>
      </c>
      <c r="C36" s="15"/>
      <c r="D36" s="15"/>
      <c r="E36" s="15" t="s">
        <v>47</v>
      </c>
      <c r="F36" s="17">
        <f>('2019'!F36*Faktor!$B$7)+'2019'!F36</f>
        <v>8.7669288099999996</v>
      </c>
      <c r="G36" s="15"/>
      <c r="H36" s="19"/>
    </row>
    <row r="37" spans="1:8" x14ac:dyDescent="0.15">
      <c r="A37" s="18" t="s">
        <v>19</v>
      </c>
      <c r="B37" s="17">
        <v>3.1</v>
      </c>
      <c r="C37" s="15"/>
      <c r="D37" s="15"/>
      <c r="E37" s="15" t="s">
        <v>81</v>
      </c>
      <c r="F37" s="17">
        <f>('2019'!F37*Faktor!$B$7)+'2019'!F37</f>
        <v>5.4206932000000005</v>
      </c>
      <c r="G37" s="15"/>
      <c r="H37" s="19"/>
    </row>
    <row r="38" spans="1:8" x14ac:dyDescent="0.15">
      <c r="A38" s="18" t="s">
        <v>87</v>
      </c>
      <c r="B38" s="17">
        <v>45.17</v>
      </c>
      <c r="C38" s="15"/>
      <c r="D38" s="15"/>
      <c r="E38" s="15" t="s">
        <v>82</v>
      </c>
      <c r="F38" s="17">
        <v>9.09</v>
      </c>
      <c r="G38" s="15"/>
      <c r="H38" s="19"/>
    </row>
    <row r="39" spans="1:8" x14ac:dyDescent="0.15">
      <c r="A39" s="18" t="s">
        <v>88</v>
      </c>
      <c r="B39" s="17">
        <v>11.3</v>
      </c>
      <c r="C39" s="15"/>
      <c r="D39" s="15"/>
      <c r="E39" s="15" t="s">
        <v>79</v>
      </c>
      <c r="F39" s="17">
        <v>266.73</v>
      </c>
      <c r="G39" s="15"/>
      <c r="H39" s="19"/>
    </row>
    <row r="40" spans="1:8" ht="13.5" thickBot="1" x14ac:dyDescent="0.2">
      <c r="A40" s="18"/>
      <c r="B40" s="17"/>
      <c r="C40" s="15"/>
      <c r="D40" s="15"/>
      <c r="E40" s="33" t="s">
        <v>80</v>
      </c>
      <c r="F40" s="34">
        <v>134.71</v>
      </c>
      <c r="G40" s="33"/>
      <c r="H40" s="35"/>
    </row>
    <row r="41" spans="1:8" x14ac:dyDescent="0.15">
      <c r="A41" s="18" t="s">
        <v>68</v>
      </c>
      <c r="B41" s="17">
        <v>7.22</v>
      </c>
      <c r="C41" s="15"/>
      <c r="D41" s="12"/>
      <c r="E41" s="23" t="s">
        <v>33</v>
      </c>
      <c r="F41" s="36"/>
      <c r="G41" s="24"/>
      <c r="H41" s="25"/>
    </row>
    <row r="42" spans="1:8" x14ac:dyDescent="0.15">
      <c r="A42" s="18" t="s">
        <v>51</v>
      </c>
      <c r="B42" s="17">
        <v>9.0399999999999991</v>
      </c>
      <c r="C42" s="15"/>
      <c r="D42" s="12"/>
      <c r="E42" s="18" t="s">
        <v>34</v>
      </c>
      <c r="F42" s="17"/>
      <c r="G42" s="15"/>
      <c r="H42" s="19"/>
    </row>
    <row r="43" spans="1:8" x14ac:dyDescent="0.15">
      <c r="A43" s="18"/>
      <c r="B43" s="17"/>
      <c r="C43" s="15"/>
      <c r="D43" s="12"/>
      <c r="E43" s="18" t="s">
        <v>35</v>
      </c>
      <c r="F43" s="17">
        <v>3.02</v>
      </c>
      <c r="G43" s="15"/>
      <c r="H43" s="19"/>
    </row>
    <row r="44" spans="1:8" x14ac:dyDescent="0.15">
      <c r="A44" s="18" t="s">
        <v>59</v>
      </c>
      <c r="B44" s="17">
        <v>4.8499999999999996</v>
      </c>
      <c r="C44" s="15"/>
      <c r="D44" s="12"/>
      <c r="E44" s="18" t="s">
        <v>48</v>
      </c>
      <c r="F44" s="17"/>
      <c r="G44" s="15"/>
      <c r="H44" s="19"/>
    </row>
    <row r="45" spans="1:8" x14ac:dyDescent="0.15">
      <c r="A45" s="18" t="s">
        <v>60</v>
      </c>
      <c r="B45" s="17">
        <v>9.9700000000000006</v>
      </c>
      <c r="C45" s="15"/>
      <c r="D45" s="12"/>
      <c r="E45" s="18" t="s">
        <v>58</v>
      </c>
      <c r="F45" s="17">
        <v>63.05</v>
      </c>
      <c r="G45" s="15"/>
      <c r="H45" s="19"/>
    </row>
    <row r="46" spans="1:8" x14ac:dyDescent="0.15">
      <c r="A46" s="18" t="s">
        <v>61</v>
      </c>
      <c r="B46" s="17">
        <v>14.43</v>
      </c>
      <c r="C46" s="15"/>
      <c r="D46" s="12"/>
      <c r="E46" s="18" t="s">
        <v>91</v>
      </c>
      <c r="F46" s="17">
        <v>6.66</v>
      </c>
      <c r="G46" s="15"/>
      <c r="H46" s="19"/>
    </row>
    <row r="47" spans="1:8" x14ac:dyDescent="0.15">
      <c r="A47" s="18" t="s">
        <v>62</v>
      </c>
      <c r="B47" s="17">
        <v>19.399999999999999</v>
      </c>
      <c r="C47" s="15"/>
      <c r="D47" s="12"/>
      <c r="E47" s="18"/>
      <c r="F47" s="17"/>
      <c r="G47" s="15"/>
      <c r="H47" s="19"/>
    </row>
    <row r="48" spans="1:8" x14ac:dyDescent="0.15">
      <c r="A48" s="18" t="s">
        <v>63</v>
      </c>
      <c r="B48" s="17">
        <v>24.25</v>
      </c>
      <c r="C48" s="15"/>
      <c r="D48" s="12"/>
      <c r="E48" s="18"/>
      <c r="F48" s="17"/>
      <c r="G48" s="15"/>
      <c r="H48" s="19"/>
    </row>
    <row r="49" spans="1:8" x14ac:dyDescent="0.15">
      <c r="A49" s="18" t="s">
        <v>64</v>
      </c>
      <c r="B49" s="17">
        <v>28.98</v>
      </c>
      <c r="C49" s="15"/>
      <c r="D49" s="12"/>
      <c r="E49" s="18"/>
      <c r="F49" s="17"/>
      <c r="G49" s="15"/>
      <c r="H49" s="19"/>
    </row>
    <row r="50" spans="1:8" x14ac:dyDescent="0.15">
      <c r="A50" s="18"/>
      <c r="B50" s="17"/>
      <c r="C50" s="15"/>
      <c r="D50" s="12"/>
      <c r="E50" s="18"/>
      <c r="F50" s="17"/>
      <c r="G50" s="15"/>
      <c r="H50" s="19"/>
    </row>
    <row r="51" spans="1:8" x14ac:dyDescent="0.15">
      <c r="A51" s="18"/>
      <c r="B51" s="17"/>
      <c r="C51" s="15"/>
      <c r="D51" s="12"/>
      <c r="E51" s="18" t="s">
        <v>83</v>
      </c>
      <c r="F51" s="17">
        <v>9.5399999999999991</v>
      </c>
      <c r="G51" s="15"/>
      <c r="H51" s="19"/>
    </row>
    <row r="52" spans="1:8" x14ac:dyDescent="0.15">
      <c r="A52" s="18"/>
      <c r="B52" s="17"/>
      <c r="C52" s="15"/>
      <c r="D52" s="12"/>
      <c r="E52" s="18" t="s">
        <v>77</v>
      </c>
      <c r="F52" s="17"/>
      <c r="G52" s="15"/>
      <c r="H52" s="19"/>
    </row>
    <row r="53" spans="1:8" x14ac:dyDescent="0.15">
      <c r="A53" s="18" t="s">
        <v>65</v>
      </c>
      <c r="B53" s="17">
        <v>15.05</v>
      </c>
      <c r="C53" s="15"/>
      <c r="D53" s="12"/>
      <c r="E53" s="18" t="s">
        <v>36</v>
      </c>
      <c r="F53" s="17">
        <v>1.86</v>
      </c>
      <c r="G53" s="15"/>
      <c r="H53" s="19"/>
    </row>
    <row r="54" spans="1:8" x14ac:dyDescent="0.15">
      <c r="A54" s="18"/>
      <c r="B54" s="17"/>
      <c r="C54" s="15"/>
      <c r="D54" s="12"/>
      <c r="E54" s="18" t="s">
        <v>37</v>
      </c>
      <c r="F54" s="17"/>
      <c r="G54" s="15"/>
      <c r="H54" s="19"/>
    </row>
    <row r="55" spans="1:8" ht="13.5" thickBot="1" x14ac:dyDescent="0.2">
      <c r="A55" s="26"/>
      <c r="B55" s="27"/>
      <c r="C55" s="28"/>
      <c r="D55" s="32"/>
      <c r="E55" s="26" t="s">
        <v>38</v>
      </c>
      <c r="F55" s="27"/>
      <c r="G55" s="28"/>
      <c r="H55" s="29"/>
    </row>
    <row r="56" spans="1:8" x14ac:dyDescent="0.15">
      <c r="A56" s="20" t="s">
        <v>85</v>
      </c>
      <c r="B56" s="21"/>
      <c r="C56" s="21"/>
      <c r="D56" s="21"/>
      <c r="E56" s="21"/>
      <c r="F56" s="21"/>
      <c r="G56" s="21"/>
      <c r="H56" s="22"/>
    </row>
    <row r="57" spans="1:8" x14ac:dyDescent="0.15">
      <c r="A57" s="51"/>
      <c r="B57" s="44"/>
      <c r="C57" s="44"/>
      <c r="D57" s="44"/>
      <c r="E57" s="44"/>
      <c r="F57" s="44"/>
      <c r="G57" s="44"/>
      <c r="H57" s="46"/>
    </row>
    <row r="58" spans="1:8" x14ac:dyDescent="0.15">
      <c r="A58" s="51"/>
      <c r="B58" s="44"/>
      <c r="C58" s="44"/>
      <c r="D58" s="44"/>
      <c r="E58" s="44"/>
      <c r="F58" s="44"/>
      <c r="G58" s="44"/>
      <c r="H58" s="46"/>
    </row>
    <row r="59" spans="1:8" x14ac:dyDescent="0.15">
      <c r="A59" s="51"/>
      <c r="B59" s="44"/>
      <c r="C59" s="44"/>
      <c r="D59" s="44"/>
      <c r="E59" s="44"/>
      <c r="F59" s="44"/>
      <c r="G59" s="44"/>
      <c r="H59" s="46"/>
    </row>
    <row r="60" spans="1:8" x14ac:dyDescent="0.15">
      <c r="A60" s="51"/>
      <c r="B60" s="44"/>
      <c r="C60" s="44"/>
      <c r="D60" s="44"/>
      <c r="E60" s="44"/>
      <c r="F60" s="44"/>
      <c r="G60" s="44"/>
      <c r="H60" s="46"/>
    </row>
    <row r="61" spans="1:8" ht="13.5" thickBot="1" x14ac:dyDescent="0.2">
      <c r="A61" s="52"/>
      <c r="B61" s="2"/>
      <c r="C61" s="2"/>
      <c r="D61" s="2"/>
      <c r="E61" s="2"/>
      <c r="F61" s="2"/>
      <c r="G61" s="2"/>
      <c r="H61" s="3"/>
    </row>
  </sheetData>
  <mergeCells count="5">
    <mergeCell ref="A1:H1"/>
    <mergeCell ref="B6:E6"/>
    <mergeCell ref="G6:H6"/>
    <mergeCell ref="B7:E7"/>
    <mergeCell ref="G7:H7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F3D4-1FB3-49E0-B775-EFB32B0BA128}">
  <dimension ref="A1:H61"/>
  <sheetViews>
    <sheetView zoomScale="130" zoomScaleNormal="130" workbookViewId="0">
      <selection sqref="A1:H61"/>
    </sheetView>
  </sheetViews>
  <sheetFormatPr defaultColWidth="8.8984375" defaultRowHeight="12.75" x14ac:dyDescent="0.15"/>
  <cols>
    <col min="1" max="1" width="17.80078125" customWidth="1"/>
    <col min="2" max="2" width="5.796875" customWidth="1"/>
    <col min="5" max="5" width="19.28125" customWidth="1"/>
    <col min="6" max="6" width="6.47265625" customWidth="1"/>
  </cols>
  <sheetData>
    <row r="1" spans="1:8" ht="21" thickBot="1" x14ac:dyDescent="0.3">
      <c r="A1" s="99" t="s">
        <v>92</v>
      </c>
      <c r="B1" s="100"/>
      <c r="C1" s="100"/>
      <c r="D1" s="100"/>
      <c r="E1" s="100"/>
      <c r="F1" s="100"/>
      <c r="G1" s="100"/>
      <c r="H1" s="101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 t="s">
        <v>22</v>
      </c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5" t="s">
        <v>23</v>
      </c>
      <c r="B5" s="47"/>
      <c r="C5" s="48"/>
      <c r="D5" s="48"/>
      <c r="E5" s="48"/>
      <c r="F5" s="47" t="s">
        <v>44</v>
      </c>
      <c r="G5" s="47"/>
      <c r="H5" s="49"/>
    </row>
    <row r="6" spans="1:8" x14ac:dyDescent="0.15">
      <c r="A6" s="50"/>
      <c r="B6" s="102"/>
      <c r="C6" s="103"/>
      <c r="D6" s="103"/>
      <c r="E6" s="104"/>
      <c r="F6" s="15"/>
      <c r="G6" s="102"/>
      <c r="H6" s="108"/>
    </row>
    <row r="7" spans="1:8" ht="13.5" thickBot="1" x14ac:dyDescent="0.2">
      <c r="A7" s="26"/>
      <c r="B7" s="105"/>
      <c r="C7" s="106"/>
      <c r="D7" s="106"/>
      <c r="E7" s="107"/>
      <c r="F7" s="28"/>
      <c r="G7" s="105"/>
      <c r="H7" s="109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2.5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2.93</v>
      </c>
      <c r="C11" s="15"/>
      <c r="D11" s="15"/>
      <c r="E11" s="15" t="s">
        <v>49</v>
      </c>
      <c r="F11" s="17">
        <v>8.7799999999999994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v>8.7799999999999994</v>
      </c>
      <c r="G12" s="15"/>
      <c r="H12" s="19"/>
    </row>
    <row r="13" spans="1:8" x14ac:dyDescent="0.15">
      <c r="A13" s="18" t="s">
        <v>53</v>
      </c>
      <c r="B13" s="17">
        <v>1.66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 t="s">
        <v>69</v>
      </c>
      <c r="F14" s="17">
        <v>9.76</v>
      </c>
      <c r="G14" s="15"/>
      <c r="H14" s="19"/>
    </row>
    <row r="15" spans="1:8" x14ac:dyDescent="0.15">
      <c r="A15" s="18" t="s">
        <v>1</v>
      </c>
      <c r="B15" s="17">
        <v>23.43</v>
      </c>
      <c r="C15" s="15"/>
      <c r="D15" s="15"/>
      <c r="E15" s="15" t="s">
        <v>24</v>
      </c>
      <c r="F15" s="17">
        <v>13.66</v>
      </c>
      <c r="G15" s="15"/>
      <c r="H15" s="19"/>
    </row>
    <row r="16" spans="1:8" x14ac:dyDescent="0.15">
      <c r="A16" s="18" t="s">
        <v>2</v>
      </c>
      <c r="B16" s="17">
        <v>15.62</v>
      </c>
      <c r="C16" s="15"/>
      <c r="D16" s="15"/>
      <c r="E16" s="53" t="s">
        <v>96</v>
      </c>
      <c r="F16" s="54">
        <v>9.76</v>
      </c>
      <c r="G16" s="15"/>
      <c r="H16" s="19"/>
    </row>
    <row r="17" spans="1:8" x14ac:dyDescent="0.15">
      <c r="A17" s="18" t="s">
        <v>3</v>
      </c>
      <c r="B17" s="17">
        <v>11.72</v>
      </c>
      <c r="C17" s="15"/>
      <c r="D17" s="15"/>
      <c r="E17" s="15" t="s">
        <v>54</v>
      </c>
      <c r="F17" s="17">
        <v>8.7799999999999994</v>
      </c>
      <c r="G17" s="15"/>
      <c r="H17" s="19"/>
    </row>
    <row r="18" spans="1:8" x14ac:dyDescent="0.15">
      <c r="A18" s="18" t="s">
        <v>52</v>
      </c>
      <c r="B18" s="17">
        <v>7.81</v>
      </c>
      <c r="C18" s="15"/>
      <c r="D18" s="15"/>
      <c r="E18" s="15" t="s">
        <v>55</v>
      </c>
      <c r="F18" s="17">
        <v>1.06</v>
      </c>
      <c r="G18" s="15"/>
      <c r="H18" s="19"/>
    </row>
    <row r="19" spans="1:8" x14ac:dyDescent="0.15">
      <c r="A19" s="18" t="s">
        <v>4</v>
      </c>
      <c r="B19" s="17">
        <v>3.91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v>4.21</v>
      </c>
      <c r="G20" s="15"/>
      <c r="H20" s="19"/>
    </row>
    <row r="21" spans="1:8" x14ac:dyDescent="0.15">
      <c r="A21" s="18" t="s">
        <v>7</v>
      </c>
      <c r="B21" s="17">
        <v>8.7799999999999994</v>
      </c>
      <c r="C21" s="15"/>
      <c r="D21" s="15"/>
      <c r="E21" s="15" t="s">
        <v>89</v>
      </c>
      <c r="F21" s="17">
        <v>36.43</v>
      </c>
      <c r="G21" s="15"/>
      <c r="H21" s="19"/>
    </row>
    <row r="22" spans="1:8" x14ac:dyDescent="0.15">
      <c r="A22" s="18" t="s">
        <v>72</v>
      </c>
      <c r="B22" s="17">
        <v>5.85</v>
      </c>
      <c r="C22" s="15"/>
      <c r="D22" s="15"/>
      <c r="E22" s="15" t="s">
        <v>90</v>
      </c>
      <c r="F22" s="17">
        <v>36.43</v>
      </c>
      <c r="G22" s="15"/>
      <c r="H22" s="19"/>
    </row>
    <row r="23" spans="1:8" x14ac:dyDescent="0.15">
      <c r="A23" s="56" t="s">
        <v>8</v>
      </c>
      <c r="B23" s="17">
        <v>5.85</v>
      </c>
      <c r="C23" s="15"/>
      <c r="D23" s="15"/>
      <c r="E23" s="15" t="s">
        <v>26</v>
      </c>
      <c r="F23" s="17">
        <v>3.73</v>
      </c>
      <c r="G23" s="15"/>
      <c r="H23" s="19"/>
    </row>
    <row r="24" spans="1:8" x14ac:dyDescent="0.15">
      <c r="A24" s="56" t="s">
        <v>9</v>
      </c>
      <c r="B24" s="17">
        <v>5.85</v>
      </c>
      <c r="C24" s="15"/>
      <c r="D24" s="15"/>
      <c r="E24" s="15" t="s">
        <v>27</v>
      </c>
      <c r="F24" s="17">
        <v>3.73</v>
      </c>
      <c r="G24" s="15"/>
      <c r="H24" s="19"/>
    </row>
    <row r="25" spans="1:8" x14ac:dyDescent="0.15">
      <c r="A25" s="56" t="s">
        <v>10</v>
      </c>
      <c r="B25" s="17">
        <v>4.88</v>
      </c>
      <c r="C25" s="15"/>
      <c r="D25" s="15"/>
      <c r="E25" s="15" t="s">
        <v>28</v>
      </c>
      <c r="F25" s="17">
        <v>3.73</v>
      </c>
      <c r="G25" s="15"/>
      <c r="H25" s="19"/>
    </row>
    <row r="26" spans="1:8" x14ac:dyDescent="0.15">
      <c r="A26" s="56" t="s">
        <v>11</v>
      </c>
      <c r="B26" s="17">
        <v>4.88</v>
      </c>
      <c r="C26" s="15"/>
      <c r="D26" s="15"/>
      <c r="E26" s="15" t="s">
        <v>29</v>
      </c>
      <c r="F26" s="17">
        <v>3.73</v>
      </c>
      <c r="G26" s="15"/>
      <c r="H26" s="19"/>
    </row>
    <row r="27" spans="1:8" x14ac:dyDescent="0.15">
      <c r="A27" s="56" t="s">
        <v>12</v>
      </c>
      <c r="B27" s="17">
        <v>4.88</v>
      </c>
      <c r="C27" s="15"/>
      <c r="D27" s="15"/>
      <c r="E27" s="15" t="s">
        <v>30</v>
      </c>
      <c r="F27" s="17">
        <v>3.73</v>
      </c>
      <c r="G27" s="15"/>
      <c r="H27" s="19"/>
    </row>
    <row r="28" spans="1:8" x14ac:dyDescent="0.15">
      <c r="A28" s="12"/>
      <c r="B28" s="15"/>
      <c r="C28" s="15"/>
      <c r="D28" s="15"/>
      <c r="E28" s="15" t="s">
        <v>31</v>
      </c>
      <c r="F28" s="17">
        <v>3.73</v>
      </c>
      <c r="G28" s="15"/>
      <c r="H28" s="19"/>
    </row>
    <row r="29" spans="1:8" x14ac:dyDescent="0.15">
      <c r="A29" s="58" t="s">
        <v>66</v>
      </c>
      <c r="B29" s="17">
        <v>2.66</v>
      </c>
      <c r="C29" s="15"/>
      <c r="D29" s="15"/>
      <c r="E29" s="15"/>
      <c r="F29" s="17"/>
      <c r="G29" s="15"/>
      <c r="H29" s="19"/>
    </row>
    <row r="30" spans="1:8" x14ac:dyDescent="0.15">
      <c r="A30" s="58" t="s">
        <v>67</v>
      </c>
      <c r="B30" s="17">
        <v>6.39</v>
      </c>
      <c r="C30" s="15"/>
      <c r="D30" s="15"/>
      <c r="E30" s="15" t="s">
        <v>78</v>
      </c>
      <c r="F30" s="17">
        <v>5.85</v>
      </c>
      <c r="G30" s="15"/>
      <c r="H30" s="19"/>
    </row>
    <row r="31" spans="1:8" x14ac:dyDescent="0.15">
      <c r="A31" s="56"/>
      <c r="B31" s="17"/>
      <c r="C31" s="15"/>
      <c r="D31" s="15"/>
      <c r="E31" s="15"/>
      <c r="F31" s="15"/>
      <c r="G31" s="15"/>
      <c r="H31" s="19"/>
    </row>
    <row r="32" spans="1:8" x14ac:dyDescent="0.15">
      <c r="A32" s="56"/>
      <c r="B32" s="17"/>
      <c r="C32" s="15"/>
      <c r="D32" s="15"/>
      <c r="E32" s="15" t="s">
        <v>76</v>
      </c>
      <c r="F32" s="17">
        <v>5</v>
      </c>
      <c r="G32" s="15"/>
      <c r="H32" s="19"/>
    </row>
    <row r="33" spans="1:8" x14ac:dyDescent="0.15">
      <c r="A33" s="56" t="s">
        <v>15</v>
      </c>
      <c r="B33" s="17">
        <v>4.3899999999999997</v>
      </c>
      <c r="C33" s="15"/>
      <c r="D33" s="15"/>
      <c r="E33" s="15" t="s">
        <v>47</v>
      </c>
      <c r="F33" s="17">
        <v>9.09</v>
      </c>
      <c r="G33" s="15"/>
      <c r="H33" s="19"/>
    </row>
    <row r="34" spans="1:8" x14ac:dyDescent="0.15">
      <c r="A34" s="56" t="s">
        <v>16</v>
      </c>
      <c r="B34" s="17">
        <v>2.93</v>
      </c>
      <c r="C34" s="15"/>
      <c r="D34" s="15"/>
      <c r="E34" s="15" t="s">
        <v>81</v>
      </c>
      <c r="F34" s="17">
        <v>5.74</v>
      </c>
      <c r="G34" s="15"/>
      <c r="H34" s="19"/>
    </row>
    <row r="35" spans="1:8" x14ac:dyDescent="0.15">
      <c r="A35" s="56" t="s">
        <v>17</v>
      </c>
      <c r="B35" s="17">
        <v>2.93</v>
      </c>
      <c r="C35" s="15"/>
      <c r="D35" s="15"/>
      <c r="E35" s="15" t="s">
        <v>82</v>
      </c>
      <c r="F35" s="17">
        <v>9.66</v>
      </c>
      <c r="G35" s="15"/>
      <c r="H35" s="19"/>
    </row>
    <row r="36" spans="1:8" x14ac:dyDescent="0.15">
      <c r="A36" s="56" t="s">
        <v>18</v>
      </c>
      <c r="B36" s="17">
        <v>2.44</v>
      </c>
      <c r="C36" s="15"/>
      <c r="D36" s="15"/>
      <c r="E36" s="53" t="s">
        <v>100</v>
      </c>
      <c r="F36" s="54">
        <v>5.86</v>
      </c>
      <c r="G36" s="15"/>
      <c r="H36" s="19"/>
    </row>
    <row r="37" spans="1:8" x14ac:dyDescent="0.15">
      <c r="A37" s="56" t="s">
        <v>19</v>
      </c>
      <c r="B37" s="17">
        <v>2.44</v>
      </c>
      <c r="C37" s="15"/>
      <c r="D37" s="15"/>
      <c r="E37" s="15" t="s">
        <v>79</v>
      </c>
      <c r="F37" s="17">
        <v>283.20999999999998</v>
      </c>
      <c r="G37" s="15"/>
      <c r="H37" s="19"/>
    </row>
    <row r="38" spans="1:8" x14ac:dyDescent="0.15">
      <c r="A38" s="56" t="s">
        <v>87</v>
      </c>
      <c r="B38" s="17">
        <v>47.96</v>
      </c>
      <c r="C38" s="15"/>
      <c r="D38" s="15"/>
      <c r="E38" s="33" t="s">
        <v>80</v>
      </c>
      <c r="F38" s="34">
        <v>142.04</v>
      </c>
      <c r="G38" s="15"/>
      <c r="H38" s="19"/>
    </row>
    <row r="39" spans="1:8" x14ac:dyDescent="0.15">
      <c r="A39" s="56" t="s">
        <v>88</v>
      </c>
      <c r="B39" s="17">
        <v>12.51</v>
      </c>
      <c r="C39" s="15"/>
      <c r="D39" s="15"/>
      <c r="E39" s="15"/>
      <c r="F39" s="15"/>
      <c r="G39" s="15"/>
      <c r="H39" s="19"/>
    </row>
    <row r="40" spans="1:8" ht="13.5" thickBot="1" x14ac:dyDescent="0.2">
      <c r="A40" s="56"/>
      <c r="B40" s="17"/>
      <c r="C40" s="15"/>
      <c r="D40" s="15"/>
      <c r="E40" s="33" t="s">
        <v>101</v>
      </c>
      <c r="F40" s="33">
        <v>4.3899999999999997</v>
      </c>
      <c r="G40" s="33"/>
      <c r="H40" s="35"/>
    </row>
    <row r="41" spans="1:8" x14ac:dyDescent="0.15">
      <c r="A41" s="56" t="s">
        <v>68</v>
      </c>
      <c r="B41" s="17">
        <v>13.66</v>
      </c>
      <c r="C41" s="15"/>
      <c r="D41" s="12"/>
      <c r="E41" s="55" t="s">
        <v>33</v>
      </c>
      <c r="F41" s="36"/>
      <c r="G41" s="24"/>
      <c r="H41" s="25"/>
    </row>
    <row r="42" spans="1:8" x14ac:dyDescent="0.15">
      <c r="A42" s="56" t="s">
        <v>93</v>
      </c>
      <c r="B42" s="17">
        <v>13.66</v>
      </c>
      <c r="C42" s="15"/>
      <c r="D42" s="12"/>
      <c r="E42" s="56" t="s">
        <v>34</v>
      </c>
      <c r="F42" s="17"/>
      <c r="G42" s="15"/>
      <c r="H42" s="19"/>
    </row>
    <row r="43" spans="1:8" x14ac:dyDescent="0.15">
      <c r="A43" s="56" t="s">
        <v>94</v>
      </c>
      <c r="B43" s="17">
        <v>17.559999999999999</v>
      </c>
      <c r="C43" s="15"/>
      <c r="D43" s="12"/>
      <c r="E43" s="56" t="s">
        <v>35</v>
      </c>
      <c r="F43" s="17">
        <v>3.22</v>
      </c>
      <c r="G43" s="15"/>
      <c r="H43" s="19"/>
    </row>
    <row r="44" spans="1:8" x14ac:dyDescent="0.15">
      <c r="B44" s="15"/>
      <c r="C44" s="15"/>
      <c r="D44" s="12"/>
      <c r="E44" s="56" t="s">
        <v>48</v>
      </c>
      <c r="F44" s="17"/>
      <c r="G44" s="15"/>
      <c r="H44" s="19"/>
    </row>
    <row r="45" spans="1:8" x14ac:dyDescent="0.15">
      <c r="A45" s="56" t="s">
        <v>59</v>
      </c>
      <c r="B45" s="17">
        <v>5.15</v>
      </c>
      <c r="C45" s="15"/>
      <c r="D45" s="12"/>
      <c r="E45" s="56" t="s">
        <v>91</v>
      </c>
      <c r="F45" s="17">
        <v>10.73</v>
      </c>
      <c r="G45" s="15"/>
      <c r="H45" s="19"/>
    </row>
    <row r="46" spans="1:8" x14ac:dyDescent="0.15">
      <c r="A46" s="56" t="s">
        <v>60</v>
      </c>
      <c r="B46" s="17">
        <f>B45*2</f>
        <v>10.3</v>
      </c>
      <c r="C46" s="15"/>
      <c r="D46" s="12"/>
      <c r="E46" s="51"/>
      <c r="F46" s="15"/>
      <c r="G46" s="15"/>
      <c r="H46" s="19"/>
    </row>
    <row r="47" spans="1:8" x14ac:dyDescent="0.15">
      <c r="A47" s="56" t="s">
        <v>61</v>
      </c>
      <c r="B47" s="17">
        <f>B45*3</f>
        <v>15.450000000000001</v>
      </c>
      <c r="C47" s="15"/>
      <c r="D47" s="12"/>
      <c r="E47" s="56" t="s">
        <v>97</v>
      </c>
      <c r="F47" s="17">
        <v>40.159999999999997</v>
      </c>
      <c r="G47" s="15"/>
      <c r="H47" s="19"/>
    </row>
    <row r="48" spans="1:8" x14ac:dyDescent="0.15">
      <c r="A48" s="56" t="s">
        <v>62</v>
      </c>
      <c r="B48" s="17">
        <f>B45*4</f>
        <v>20.6</v>
      </c>
      <c r="C48" s="15"/>
      <c r="D48" s="12"/>
      <c r="E48" s="51" t="s">
        <v>98</v>
      </c>
      <c r="F48" s="57">
        <v>46.14</v>
      </c>
      <c r="G48" s="15"/>
      <c r="H48" s="19"/>
    </row>
    <row r="49" spans="1:8" x14ac:dyDescent="0.15">
      <c r="A49" s="18" t="s">
        <v>63</v>
      </c>
      <c r="B49" s="17">
        <f>B45*5</f>
        <v>25.75</v>
      </c>
      <c r="C49" s="15"/>
      <c r="D49" s="12"/>
      <c r="E49" s="56" t="s">
        <v>99</v>
      </c>
      <c r="F49" s="17">
        <v>20.8</v>
      </c>
      <c r="G49" s="15"/>
      <c r="H49" s="19"/>
    </row>
    <row r="50" spans="1:8" x14ac:dyDescent="0.15">
      <c r="A50" s="18" t="s">
        <v>64</v>
      </c>
      <c r="B50" s="17">
        <f>B45*6</f>
        <v>30.900000000000002</v>
      </c>
      <c r="C50" s="15"/>
      <c r="D50" s="12"/>
      <c r="E50" s="56"/>
      <c r="F50" s="17"/>
      <c r="G50" s="15"/>
      <c r="H50" s="19"/>
    </row>
    <row r="51" spans="1:8" x14ac:dyDescent="0.15">
      <c r="A51" s="18" t="s">
        <v>95</v>
      </c>
      <c r="B51" s="17">
        <f>3.73*6</f>
        <v>22.38</v>
      </c>
      <c r="C51" s="15"/>
      <c r="D51" s="12"/>
      <c r="E51" s="56" t="s">
        <v>83</v>
      </c>
      <c r="F51" s="17">
        <v>9.11</v>
      </c>
      <c r="G51" s="15"/>
      <c r="H51" s="19"/>
    </row>
    <row r="52" spans="1:8" x14ac:dyDescent="0.15">
      <c r="A52" s="18"/>
      <c r="B52" s="17"/>
      <c r="C52" s="15"/>
      <c r="D52" s="12"/>
      <c r="E52" s="56" t="s">
        <v>77</v>
      </c>
      <c r="F52" s="17"/>
      <c r="G52" s="15"/>
      <c r="H52" s="19"/>
    </row>
    <row r="53" spans="1:8" x14ac:dyDescent="0.15">
      <c r="A53" s="18" t="s">
        <v>65</v>
      </c>
      <c r="B53" s="17">
        <v>15.99</v>
      </c>
      <c r="C53" s="15"/>
      <c r="D53" s="12"/>
      <c r="E53" s="56" t="s">
        <v>36</v>
      </c>
      <c r="F53" s="17">
        <v>1.98</v>
      </c>
      <c r="G53" s="15"/>
      <c r="H53" s="19"/>
    </row>
    <row r="54" spans="1:8" x14ac:dyDescent="0.15">
      <c r="A54" s="18"/>
      <c r="B54" s="17"/>
      <c r="C54" s="15"/>
      <c r="D54" s="12"/>
      <c r="E54" s="56" t="s">
        <v>37</v>
      </c>
      <c r="F54" s="17"/>
      <c r="G54" s="15"/>
      <c r="H54" s="19"/>
    </row>
    <row r="55" spans="1:8" ht="13.5" thickBot="1" x14ac:dyDescent="0.2">
      <c r="A55" s="26"/>
      <c r="B55" s="27"/>
      <c r="C55" s="28"/>
      <c r="D55" s="32"/>
      <c r="E55" s="26" t="s">
        <v>38</v>
      </c>
      <c r="F55" s="27"/>
      <c r="G55" s="28"/>
      <c r="H55" s="29"/>
    </row>
    <row r="56" spans="1:8" x14ac:dyDescent="0.15">
      <c r="A56" s="20" t="s">
        <v>85</v>
      </c>
      <c r="B56" s="21"/>
      <c r="C56" s="21"/>
      <c r="D56" s="21"/>
      <c r="E56" s="44"/>
      <c r="F56" s="44"/>
      <c r="G56" s="44"/>
      <c r="H56" s="46"/>
    </row>
    <row r="57" spans="1:8" x14ac:dyDescent="0.15">
      <c r="A57" s="51"/>
      <c r="B57" s="44"/>
      <c r="C57" s="44"/>
      <c r="D57" s="44"/>
      <c r="E57" s="44"/>
      <c r="F57" s="44"/>
      <c r="G57" s="44"/>
      <c r="H57" s="46"/>
    </row>
    <row r="58" spans="1:8" x14ac:dyDescent="0.15">
      <c r="A58" s="51"/>
      <c r="B58" s="44"/>
      <c r="C58" s="44"/>
      <c r="D58" s="44"/>
      <c r="E58" s="44"/>
      <c r="F58" s="44"/>
      <c r="G58" s="44"/>
      <c r="H58" s="46"/>
    </row>
    <row r="59" spans="1:8" x14ac:dyDescent="0.15">
      <c r="A59" s="51"/>
      <c r="B59" s="44"/>
      <c r="C59" s="44"/>
      <c r="D59" s="44"/>
      <c r="E59" s="44"/>
      <c r="F59" s="44"/>
      <c r="G59" s="44"/>
      <c r="H59" s="46"/>
    </row>
    <row r="60" spans="1:8" x14ac:dyDescent="0.15">
      <c r="A60" s="51"/>
      <c r="B60" s="44"/>
      <c r="C60" s="44"/>
      <c r="D60" s="44"/>
      <c r="E60" s="44"/>
      <c r="F60" s="44"/>
      <c r="G60" s="44"/>
      <c r="H60" s="46"/>
    </row>
    <row r="61" spans="1:8" ht="13.5" thickBot="1" x14ac:dyDescent="0.2">
      <c r="A61" s="52"/>
      <c r="B61" s="2"/>
      <c r="C61" s="2"/>
      <c r="D61" s="2"/>
      <c r="E61" s="2"/>
      <c r="F61" s="2"/>
      <c r="G61" s="2"/>
      <c r="H61" s="3"/>
    </row>
  </sheetData>
  <mergeCells count="5">
    <mergeCell ref="A1:H1"/>
    <mergeCell ref="B6:E6"/>
    <mergeCell ref="G6:H6"/>
    <mergeCell ref="B7:E7"/>
    <mergeCell ref="G7:H7"/>
  </mergeCells>
  <pageMargins left="0.70866141732283472" right="0.70866141732283472" top="0.55118110236220474" bottom="0.35433070866141736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6415-46FE-4D72-8655-1603BBA12B7E}">
  <dimension ref="A1:H61"/>
  <sheetViews>
    <sheetView workbookViewId="0">
      <selection activeCell="J32" sqref="J32"/>
    </sheetView>
  </sheetViews>
  <sheetFormatPr defaultRowHeight="12.75" x14ac:dyDescent="0.15"/>
  <sheetData>
    <row r="1" spans="1:8" ht="21" thickBot="1" x14ac:dyDescent="0.3">
      <c r="A1" s="99" t="s">
        <v>92</v>
      </c>
      <c r="B1" s="100"/>
      <c r="C1" s="100"/>
      <c r="D1" s="100"/>
      <c r="E1" s="100"/>
      <c r="F1" s="100"/>
      <c r="G1" s="100"/>
      <c r="H1" s="101"/>
    </row>
    <row r="2" spans="1:8" x14ac:dyDescent="0.15">
      <c r="A2" s="40" t="s">
        <v>20</v>
      </c>
      <c r="B2" s="6"/>
      <c r="C2" s="7"/>
      <c r="D2" s="7"/>
      <c r="E2" s="8"/>
      <c r="F2" s="6" t="s">
        <v>43</v>
      </c>
      <c r="G2" s="6"/>
      <c r="H2" s="10"/>
    </row>
    <row r="3" spans="1:8" x14ac:dyDescent="0.15">
      <c r="A3" s="41" t="s">
        <v>21</v>
      </c>
      <c r="B3" s="12"/>
      <c r="C3" s="13"/>
      <c r="D3" s="13"/>
      <c r="E3" s="13"/>
      <c r="F3" s="12" t="s">
        <v>46</v>
      </c>
      <c r="G3" s="12"/>
      <c r="H3" s="14"/>
    </row>
    <row r="4" spans="1:8" x14ac:dyDescent="0.15">
      <c r="A4" s="41" t="s">
        <v>22</v>
      </c>
      <c r="B4" s="12"/>
      <c r="C4" s="13"/>
      <c r="D4" s="13"/>
      <c r="E4" s="13"/>
      <c r="F4" s="12" t="s">
        <v>45</v>
      </c>
      <c r="G4" s="12"/>
      <c r="H4" s="14"/>
    </row>
    <row r="5" spans="1:8" x14ac:dyDescent="0.15">
      <c r="A5" s="45" t="s">
        <v>23</v>
      </c>
      <c r="B5" s="47"/>
      <c r="C5" s="48"/>
      <c r="D5" s="48"/>
      <c r="E5" s="48"/>
      <c r="F5" s="47" t="s">
        <v>44</v>
      </c>
      <c r="G5" s="47"/>
      <c r="H5" s="49"/>
    </row>
    <row r="6" spans="1:8" x14ac:dyDescent="0.15">
      <c r="A6" s="50"/>
      <c r="B6" s="102"/>
      <c r="C6" s="103"/>
      <c r="D6" s="103"/>
      <c r="E6" s="104"/>
      <c r="F6" s="15"/>
      <c r="G6" s="102"/>
      <c r="H6" s="108"/>
    </row>
    <row r="7" spans="1:8" ht="13.5" thickBot="1" x14ac:dyDescent="0.2">
      <c r="A7" s="26"/>
      <c r="B7" s="105"/>
      <c r="C7" s="106"/>
      <c r="D7" s="106"/>
      <c r="E7" s="107"/>
      <c r="F7" s="28"/>
      <c r="G7" s="105"/>
      <c r="H7" s="109"/>
    </row>
    <row r="8" spans="1:8" x14ac:dyDescent="0.15">
      <c r="A8" s="23"/>
      <c r="B8" s="24" t="s">
        <v>40</v>
      </c>
      <c r="C8" s="24" t="s">
        <v>41</v>
      </c>
      <c r="D8" s="24" t="s">
        <v>42</v>
      </c>
      <c r="E8" s="24"/>
      <c r="F8" s="24" t="s">
        <v>40</v>
      </c>
      <c r="G8" s="24" t="s">
        <v>41</v>
      </c>
      <c r="H8" s="25" t="s">
        <v>42</v>
      </c>
    </row>
    <row r="9" spans="1:8" x14ac:dyDescent="0.15">
      <c r="A9" s="18"/>
      <c r="B9" s="15" t="s">
        <v>39</v>
      </c>
      <c r="C9" s="15"/>
      <c r="D9" s="15"/>
      <c r="E9" s="15"/>
      <c r="F9" s="15" t="s">
        <v>39</v>
      </c>
      <c r="G9" s="15"/>
      <c r="H9" s="19"/>
    </row>
    <row r="10" spans="1:8" x14ac:dyDescent="0.15">
      <c r="A10" s="18" t="s">
        <v>57</v>
      </c>
      <c r="B10" s="17">
        <v>2.5</v>
      </c>
      <c r="C10" s="15"/>
      <c r="D10" s="15"/>
      <c r="E10" s="16"/>
      <c r="F10" s="15"/>
      <c r="G10" s="15"/>
      <c r="H10" s="19"/>
    </row>
    <row r="11" spans="1:8" x14ac:dyDescent="0.15">
      <c r="A11" s="18" t="s">
        <v>0</v>
      </c>
      <c r="B11" s="17">
        <v>2.93</v>
      </c>
      <c r="C11" s="15"/>
      <c r="D11" s="15"/>
      <c r="E11" s="15" t="s">
        <v>49</v>
      </c>
      <c r="F11" s="17">
        <v>8.7799999999999994</v>
      </c>
      <c r="G11" s="15"/>
      <c r="H11" s="19"/>
    </row>
    <row r="12" spans="1:8" x14ac:dyDescent="0.15">
      <c r="A12" s="18"/>
      <c r="B12" s="17"/>
      <c r="C12" s="15"/>
      <c r="D12" s="15"/>
      <c r="E12" s="15" t="s">
        <v>50</v>
      </c>
      <c r="F12" s="17">
        <v>8.7799999999999994</v>
      </c>
      <c r="G12" s="15"/>
      <c r="H12" s="19"/>
    </row>
    <row r="13" spans="1:8" x14ac:dyDescent="0.15">
      <c r="A13" s="18" t="s">
        <v>53</v>
      </c>
      <c r="B13" s="17">
        <v>1.66</v>
      </c>
      <c r="C13" s="15"/>
      <c r="D13" s="15"/>
      <c r="E13" s="15"/>
      <c r="F13" s="17"/>
      <c r="G13" s="15"/>
      <c r="H13" s="19"/>
    </row>
    <row r="14" spans="1:8" x14ac:dyDescent="0.15">
      <c r="A14" s="18"/>
      <c r="B14" s="17"/>
      <c r="C14" s="15"/>
      <c r="D14" s="15"/>
      <c r="E14" s="15" t="s">
        <v>69</v>
      </c>
      <c r="F14" s="17">
        <v>9.76</v>
      </c>
      <c r="G14" s="15"/>
      <c r="H14" s="19"/>
    </row>
    <row r="15" spans="1:8" x14ac:dyDescent="0.15">
      <c r="A15" s="18" t="s">
        <v>1</v>
      </c>
      <c r="B15" s="17">
        <v>23.43</v>
      </c>
      <c r="C15" s="15"/>
      <c r="D15" s="15"/>
      <c r="E15" s="15" t="s">
        <v>24</v>
      </c>
      <c r="F15" s="17">
        <v>13.66</v>
      </c>
      <c r="G15" s="15"/>
      <c r="H15" s="19"/>
    </row>
    <row r="16" spans="1:8" x14ac:dyDescent="0.15">
      <c r="A16" s="18" t="s">
        <v>2</v>
      </c>
      <c r="B16" s="17">
        <v>15.62</v>
      </c>
      <c r="C16" s="15"/>
      <c r="D16" s="15"/>
      <c r="E16" s="53" t="s">
        <v>96</v>
      </c>
      <c r="F16" s="54">
        <v>9.76</v>
      </c>
      <c r="G16" s="15"/>
      <c r="H16" s="19"/>
    </row>
    <row r="17" spans="1:8" x14ac:dyDescent="0.15">
      <c r="A17" s="18" t="s">
        <v>3</v>
      </c>
      <c r="B17" s="17">
        <v>11.72</v>
      </c>
      <c r="C17" s="15"/>
      <c r="D17" s="15"/>
      <c r="E17" s="15" t="s">
        <v>54</v>
      </c>
      <c r="F17" s="17">
        <v>8.7799999999999994</v>
      </c>
      <c r="G17" s="15"/>
      <c r="H17" s="19"/>
    </row>
    <row r="18" spans="1:8" x14ac:dyDescent="0.15">
      <c r="A18" s="18" t="s">
        <v>52</v>
      </c>
      <c r="B18" s="17">
        <v>7.81</v>
      </c>
      <c r="C18" s="15"/>
      <c r="D18" s="15"/>
      <c r="E18" s="15" t="s">
        <v>55</v>
      </c>
      <c r="F18" s="17">
        <v>1.06</v>
      </c>
      <c r="G18" s="15"/>
      <c r="H18" s="19"/>
    </row>
    <row r="19" spans="1:8" x14ac:dyDescent="0.15">
      <c r="A19" s="18" t="s">
        <v>4</v>
      </c>
      <c r="B19" s="17">
        <v>3.91</v>
      </c>
      <c r="C19" s="15"/>
      <c r="D19" s="15"/>
      <c r="E19" s="15"/>
      <c r="F19" s="17"/>
      <c r="G19" s="15"/>
      <c r="H19" s="19"/>
    </row>
    <row r="20" spans="1:8" x14ac:dyDescent="0.15">
      <c r="A20" s="18"/>
      <c r="B20" s="17"/>
      <c r="C20" s="15"/>
      <c r="D20" s="15"/>
      <c r="E20" s="15" t="s">
        <v>25</v>
      </c>
      <c r="F20" s="17">
        <v>4.21</v>
      </c>
      <c r="G20" s="15"/>
      <c r="H20" s="19"/>
    </row>
    <row r="21" spans="1:8" x14ac:dyDescent="0.15">
      <c r="A21" s="18" t="s">
        <v>7</v>
      </c>
      <c r="B21" s="17">
        <v>8.7799999999999994</v>
      </c>
      <c r="C21" s="15"/>
      <c r="D21" s="15"/>
      <c r="E21" s="15" t="s">
        <v>89</v>
      </c>
      <c r="F21" s="17">
        <v>36.43</v>
      </c>
      <c r="G21" s="15"/>
      <c r="H21" s="19"/>
    </row>
    <row r="22" spans="1:8" x14ac:dyDescent="0.15">
      <c r="A22" s="18" t="s">
        <v>72</v>
      </c>
      <c r="B22" s="17">
        <v>5.85</v>
      </c>
      <c r="C22" s="15"/>
      <c r="D22" s="15"/>
      <c r="E22" s="15" t="s">
        <v>90</v>
      </c>
      <c r="F22" s="17">
        <v>36.43</v>
      </c>
      <c r="G22" s="15"/>
      <c r="H22" s="19"/>
    </row>
    <row r="23" spans="1:8" x14ac:dyDescent="0.15">
      <c r="A23" s="56" t="s">
        <v>8</v>
      </c>
      <c r="B23" s="17">
        <v>5.85</v>
      </c>
      <c r="C23" s="15"/>
      <c r="D23" s="15"/>
      <c r="E23" s="15" t="s">
        <v>26</v>
      </c>
      <c r="F23" s="17">
        <v>3.73</v>
      </c>
      <c r="G23" s="15"/>
      <c r="H23" s="19"/>
    </row>
    <row r="24" spans="1:8" x14ac:dyDescent="0.15">
      <c r="A24" s="56" t="s">
        <v>9</v>
      </c>
      <c r="B24" s="17">
        <v>5.85</v>
      </c>
      <c r="C24" s="15"/>
      <c r="D24" s="15"/>
      <c r="E24" s="15" t="s">
        <v>27</v>
      </c>
      <c r="F24" s="17">
        <v>3.73</v>
      </c>
      <c r="G24" s="15"/>
      <c r="H24" s="19"/>
    </row>
    <row r="25" spans="1:8" x14ac:dyDescent="0.15">
      <c r="A25" s="56" t="s">
        <v>10</v>
      </c>
      <c r="B25" s="17">
        <v>4.88</v>
      </c>
      <c r="C25" s="15"/>
      <c r="D25" s="15"/>
      <c r="E25" s="15" t="s">
        <v>28</v>
      </c>
      <c r="F25" s="17">
        <v>3.73</v>
      </c>
      <c r="G25" s="15"/>
      <c r="H25" s="19"/>
    </row>
    <row r="26" spans="1:8" x14ac:dyDescent="0.15">
      <c r="A26" s="56" t="s">
        <v>11</v>
      </c>
      <c r="B26" s="17">
        <v>4.88</v>
      </c>
      <c r="C26" s="15"/>
      <c r="D26" s="15"/>
      <c r="E26" s="15" t="s">
        <v>29</v>
      </c>
      <c r="F26" s="17">
        <v>3.73</v>
      </c>
      <c r="G26" s="15"/>
      <c r="H26" s="19"/>
    </row>
    <row r="27" spans="1:8" x14ac:dyDescent="0.15">
      <c r="A27" s="56" t="s">
        <v>12</v>
      </c>
      <c r="B27" s="17">
        <v>4.88</v>
      </c>
      <c r="C27" s="15"/>
      <c r="D27" s="15"/>
      <c r="E27" s="15" t="s">
        <v>30</v>
      </c>
      <c r="F27" s="17">
        <v>3.73</v>
      </c>
      <c r="G27" s="15"/>
      <c r="H27" s="19"/>
    </row>
    <row r="28" spans="1:8" x14ac:dyDescent="0.15">
      <c r="A28" s="12"/>
      <c r="B28" s="15"/>
      <c r="C28" s="15"/>
      <c r="D28" s="15"/>
      <c r="E28" s="15" t="s">
        <v>31</v>
      </c>
      <c r="F28" s="17">
        <v>3.73</v>
      </c>
      <c r="G28" s="15"/>
      <c r="H28" s="19"/>
    </row>
    <row r="29" spans="1:8" x14ac:dyDescent="0.15">
      <c r="A29" s="58" t="s">
        <v>66</v>
      </c>
      <c r="B29" s="17">
        <v>2.66</v>
      </c>
      <c r="C29" s="15"/>
      <c r="D29" s="15"/>
      <c r="E29" s="15"/>
      <c r="F29" s="17"/>
      <c r="G29" s="15"/>
      <c r="H29" s="19"/>
    </row>
    <row r="30" spans="1:8" x14ac:dyDescent="0.15">
      <c r="A30" s="58" t="s">
        <v>67</v>
      </c>
      <c r="B30" s="17">
        <v>6.39</v>
      </c>
      <c r="C30" s="15"/>
      <c r="D30" s="15"/>
      <c r="E30" s="15" t="s">
        <v>78</v>
      </c>
      <c r="F30" s="17">
        <v>5.85</v>
      </c>
      <c r="G30" s="15"/>
      <c r="H30" s="19"/>
    </row>
    <row r="31" spans="1:8" x14ac:dyDescent="0.15">
      <c r="A31" s="56"/>
      <c r="B31" s="17"/>
      <c r="C31" s="15"/>
      <c r="D31" s="15"/>
      <c r="E31" s="15"/>
      <c r="F31" s="15"/>
      <c r="G31" s="15"/>
      <c r="H31" s="19"/>
    </row>
    <row r="32" spans="1:8" x14ac:dyDescent="0.15">
      <c r="A32" s="56"/>
      <c r="B32" s="17"/>
      <c r="C32" s="15"/>
      <c r="D32" s="15"/>
      <c r="E32" s="15" t="s">
        <v>76</v>
      </c>
      <c r="F32" s="17">
        <v>5</v>
      </c>
      <c r="G32" s="15"/>
      <c r="H32" s="19"/>
    </row>
    <row r="33" spans="1:8" x14ac:dyDescent="0.15">
      <c r="A33" s="56" t="s">
        <v>15</v>
      </c>
      <c r="B33" s="17">
        <v>4.3899999999999997</v>
      </c>
      <c r="C33" s="15"/>
      <c r="D33" s="15"/>
      <c r="E33" s="15" t="s">
        <v>47</v>
      </c>
      <c r="F33" s="17">
        <v>9.09</v>
      </c>
      <c r="G33" s="15"/>
      <c r="H33" s="19"/>
    </row>
    <row r="34" spans="1:8" x14ac:dyDescent="0.15">
      <c r="A34" s="56" t="s">
        <v>16</v>
      </c>
      <c r="B34" s="17">
        <v>2.93</v>
      </c>
      <c r="C34" s="15"/>
      <c r="D34" s="15"/>
      <c r="E34" s="15" t="s">
        <v>81</v>
      </c>
      <c r="F34" s="17">
        <v>5.74</v>
      </c>
      <c r="G34" s="15"/>
      <c r="H34" s="19"/>
    </row>
    <row r="35" spans="1:8" x14ac:dyDescent="0.15">
      <c r="A35" s="56" t="s">
        <v>17</v>
      </c>
      <c r="B35" s="17">
        <v>2.93</v>
      </c>
      <c r="C35" s="15"/>
      <c r="D35" s="15"/>
      <c r="E35" s="15" t="s">
        <v>82</v>
      </c>
      <c r="F35" s="17">
        <v>9.66</v>
      </c>
      <c r="G35" s="15"/>
      <c r="H35" s="19"/>
    </row>
    <row r="36" spans="1:8" x14ac:dyDescent="0.15">
      <c r="A36" s="56" t="s">
        <v>18</v>
      </c>
      <c r="B36" s="17">
        <v>2.44</v>
      </c>
      <c r="C36" s="15"/>
      <c r="D36" s="15"/>
      <c r="E36" s="53" t="s">
        <v>100</v>
      </c>
      <c r="F36" s="54">
        <v>5.86</v>
      </c>
      <c r="G36" s="15"/>
      <c r="H36" s="19"/>
    </row>
    <row r="37" spans="1:8" x14ac:dyDescent="0.15">
      <c r="A37" s="56" t="s">
        <v>19</v>
      </c>
      <c r="B37" s="17">
        <v>2.44</v>
      </c>
      <c r="C37" s="15"/>
      <c r="D37" s="15"/>
      <c r="E37" s="15" t="s">
        <v>79</v>
      </c>
      <c r="F37" s="17">
        <v>283.20999999999998</v>
      </c>
      <c r="G37" s="15"/>
      <c r="H37" s="19"/>
    </row>
    <row r="38" spans="1:8" x14ac:dyDescent="0.15">
      <c r="A38" s="56" t="s">
        <v>87</v>
      </c>
      <c r="B38" s="17">
        <v>47.96</v>
      </c>
      <c r="C38" s="15"/>
      <c r="D38" s="15"/>
      <c r="E38" s="33" t="s">
        <v>80</v>
      </c>
      <c r="F38" s="34">
        <v>142.04</v>
      </c>
      <c r="G38" s="15"/>
      <c r="H38" s="19"/>
    </row>
    <row r="39" spans="1:8" x14ac:dyDescent="0.15">
      <c r="A39" s="56" t="s">
        <v>88</v>
      </c>
      <c r="B39" s="17">
        <v>12.51</v>
      </c>
      <c r="C39" s="15"/>
      <c r="D39" s="15"/>
      <c r="E39" s="15"/>
      <c r="F39" s="15"/>
      <c r="G39" s="15"/>
      <c r="H39" s="19"/>
    </row>
    <row r="40" spans="1:8" ht="13.5" thickBot="1" x14ac:dyDescent="0.2">
      <c r="A40" s="56"/>
      <c r="B40" s="17"/>
      <c r="C40" s="15"/>
      <c r="D40" s="15"/>
      <c r="E40" s="33" t="s">
        <v>101</v>
      </c>
      <c r="F40" s="33">
        <v>4.3899999999999997</v>
      </c>
      <c r="G40" s="33"/>
      <c r="H40" s="35"/>
    </row>
    <row r="41" spans="1:8" x14ac:dyDescent="0.15">
      <c r="A41" s="56" t="s">
        <v>68</v>
      </c>
      <c r="B41" s="17">
        <v>13.66</v>
      </c>
      <c r="C41" s="15"/>
      <c r="D41" s="12"/>
      <c r="E41" s="55" t="s">
        <v>33</v>
      </c>
      <c r="F41" s="36"/>
      <c r="G41" s="24"/>
      <c r="H41" s="25"/>
    </row>
    <row r="42" spans="1:8" x14ac:dyDescent="0.15">
      <c r="A42" s="56" t="s">
        <v>93</v>
      </c>
      <c r="B42" s="17">
        <v>13.66</v>
      </c>
      <c r="C42" s="15"/>
      <c r="D42" s="12"/>
      <c r="E42" s="56" t="s">
        <v>34</v>
      </c>
      <c r="F42" s="17"/>
      <c r="G42" s="15"/>
      <c r="H42" s="19"/>
    </row>
    <row r="43" spans="1:8" x14ac:dyDescent="0.15">
      <c r="A43" s="56" t="s">
        <v>94</v>
      </c>
      <c r="B43" s="17">
        <v>17.559999999999999</v>
      </c>
      <c r="C43" s="15"/>
      <c r="D43" s="12"/>
      <c r="E43" s="56" t="s">
        <v>35</v>
      </c>
      <c r="F43" s="17">
        <v>3.22</v>
      </c>
      <c r="G43" s="15"/>
      <c r="H43" s="19"/>
    </row>
    <row r="44" spans="1:8" x14ac:dyDescent="0.15">
      <c r="B44" s="15"/>
      <c r="C44" s="15"/>
      <c r="D44" s="12"/>
      <c r="E44" s="56" t="s">
        <v>48</v>
      </c>
      <c r="F44" s="17"/>
      <c r="G44" s="15"/>
      <c r="H44" s="19"/>
    </row>
    <row r="45" spans="1:8" x14ac:dyDescent="0.15">
      <c r="A45" s="56" t="s">
        <v>59</v>
      </c>
      <c r="B45" s="17">
        <v>5.15</v>
      </c>
      <c r="C45" s="15"/>
      <c r="D45" s="12"/>
      <c r="E45" s="56" t="s">
        <v>91</v>
      </c>
      <c r="F45" s="17">
        <v>10.73</v>
      </c>
      <c r="G45" s="15"/>
      <c r="H45" s="19"/>
    </row>
    <row r="46" spans="1:8" x14ac:dyDescent="0.15">
      <c r="A46" s="56" t="s">
        <v>60</v>
      </c>
      <c r="B46" s="17">
        <f>B45*2</f>
        <v>10.3</v>
      </c>
      <c r="C46" s="15"/>
      <c r="D46" s="12"/>
      <c r="E46" s="51"/>
      <c r="F46" s="15"/>
      <c r="G46" s="15"/>
      <c r="H46" s="19"/>
    </row>
    <row r="47" spans="1:8" x14ac:dyDescent="0.15">
      <c r="A47" s="56" t="s">
        <v>61</v>
      </c>
      <c r="B47" s="17">
        <f>B45*3</f>
        <v>15.450000000000001</v>
      </c>
      <c r="C47" s="15"/>
      <c r="D47" s="12"/>
      <c r="E47" s="56" t="s">
        <v>97</v>
      </c>
      <c r="F47" s="17">
        <v>40.159999999999997</v>
      </c>
      <c r="G47" s="15"/>
      <c r="H47" s="19"/>
    </row>
    <row r="48" spans="1:8" x14ac:dyDescent="0.15">
      <c r="A48" s="56" t="s">
        <v>62</v>
      </c>
      <c r="B48" s="17">
        <f>B45*4</f>
        <v>20.6</v>
      </c>
      <c r="C48" s="15"/>
      <c r="D48" s="12"/>
      <c r="E48" s="51" t="s">
        <v>98</v>
      </c>
      <c r="F48" s="57">
        <v>46.14</v>
      </c>
      <c r="G48" s="15"/>
      <c r="H48" s="19"/>
    </row>
    <row r="49" spans="1:8" x14ac:dyDescent="0.15">
      <c r="A49" s="18" t="s">
        <v>63</v>
      </c>
      <c r="B49" s="17">
        <f>B45*5</f>
        <v>25.75</v>
      </c>
      <c r="C49" s="15"/>
      <c r="D49" s="12"/>
      <c r="E49" s="56" t="s">
        <v>99</v>
      </c>
      <c r="F49" s="17">
        <v>20.8</v>
      </c>
      <c r="G49" s="15"/>
      <c r="H49" s="19"/>
    </row>
    <row r="50" spans="1:8" x14ac:dyDescent="0.15">
      <c r="A50" s="18" t="s">
        <v>64</v>
      </c>
      <c r="B50" s="17">
        <f>B45*6</f>
        <v>30.900000000000002</v>
      </c>
      <c r="C50" s="15"/>
      <c r="D50" s="12"/>
      <c r="E50" s="56"/>
      <c r="F50" s="17"/>
      <c r="G50" s="15"/>
      <c r="H50" s="19"/>
    </row>
    <row r="51" spans="1:8" x14ac:dyDescent="0.15">
      <c r="A51" s="18" t="s">
        <v>95</v>
      </c>
      <c r="B51" s="17">
        <f>3.73*6</f>
        <v>22.38</v>
      </c>
      <c r="C51" s="15"/>
      <c r="D51" s="12"/>
      <c r="E51" s="56" t="s">
        <v>83</v>
      </c>
      <c r="F51" s="17">
        <v>9.11</v>
      </c>
      <c r="G51" s="15"/>
      <c r="H51" s="19"/>
    </row>
    <row r="52" spans="1:8" x14ac:dyDescent="0.15">
      <c r="A52" s="18"/>
      <c r="B52" s="17"/>
      <c r="C52" s="15"/>
      <c r="D52" s="12"/>
      <c r="E52" s="56" t="s">
        <v>77</v>
      </c>
      <c r="F52" s="17"/>
      <c r="G52" s="15"/>
      <c r="H52" s="19"/>
    </row>
    <row r="53" spans="1:8" x14ac:dyDescent="0.15">
      <c r="A53" s="18" t="s">
        <v>65</v>
      </c>
      <c r="B53" s="17">
        <v>15.99</v>
      </c>
      <c r="C53" s="15"/>
      <c r="D53" s="12"/>
      <c r="E53" s="56" t="s">
        <v>36</v>
      </c>
      <c r="F53" s="17">
        <v>1.98</v>
      </c>
      <c r="G53" s="15"/>
      <c r="H53" s="19"/>
    </row>
    <row r="54" spans="1:8" x14ac:dyDescent="0.15">
      <c r="A54" s="18"/>
      <c r="B54" s="17"/>
      <c r="C54" s="15"/>
      <c r="D54" s="12"/>
      <c r="E54" s="56" t="s">
        <v>37</v>
      </c>
      <c r="F54" s="17"/>
      <c r="G54" s="15"/>
      <c r="H54" s="19"/>
    </row>
    <row r="55" spans="1:8" ht="13.5" thickBot="1" x14ac:dyDescent="0.2">
      <c r="A55" s="26"/>
      <c r="B55" s="27"/>
      <c r="C55" s="28"/>
      <c r="D55" s="32"/>
      <c r="E55" s="26" t="s">
        <v>38</v>
      </c>
      <c r="F55" s="27"/>
      <c r="G55" s="28"/>
      <c r="H55" s="29"/>
    </row>
    <row r="56" spans="1:8" x14ac:dyDescent="0.15">
      <c r="A56" s="20" t="s">
        <v>85</v>
      </c>
      <c r="B56" s="21"/>
      <c r="C56" s="21"/>
      <c r="D56" s="21"/>
      <c r="E56" s="44"/>
      <c r="F56" s="44"/>
      <c r="G56" s="44"/>
      <c r="H56" s="46"/>
    </row>
    <row r="57" spans="1:8" x14ac:dyDescent="0.15">
      <c r="A57" s="51"/>
      <c r="B57" s="44"/>
      <c r="C57" s="44"/>
      <c r="D57" s="44"/>
      <c r="E57" s="44"/>
      <c r="F57" s="44"/>
      <c r="G57" s="44"/>
      <c r="H57" s="46"/>
    </row>
    <row r="58" spans="1:8" x14ac:dyDescent="0.15">
      <c r="A58" s="51"/>
      <c r="B58" s="44"/>
      <c r="C58" s="44"/>
      <c r="D58" s="44"/>
      <c r="E58" s="44"/>
      <c r="F58" s="44"/>
      <c r="G58" s="44"/>
      <c r="H58" s="46"/>
    </row>
    <row r="59" spans="1:8" x14ac:dyDescent="0.15">
      <c r="A59" s="51"/>
      <c r="B59" s="44"/>
      <c r="C59" s="44"/>
      <c r="D59" s="44"/>
      <c r="E59" s="44"/>
      <c r="F59" s="44"/>
      <c r="G59" s="44"/>
      <c r="H59" s="46"/>
    </row>
    <row r="60" spans="1:8" x14ac:dyDescent="0.15">
      <c r="A60" s="51"/>
      <c r="B60" s="44"/>
      <c r="C60" s="44"/>
      <c r="D60" s="44"/>
      <c r="E60" s="44"/>
      <c r="F60" s="44"/>
      <c r="G60" s="44"/>
      <c r="H60" s="46"/>
    </row>
    <row r="61" spans="1:8" ht="13.5" thickBot="1" x14ac:dyDescent="0.2">
      <c r="A61" s="52"/>
      <c r="B61" s="2"/>
      <c r="C61" s="2"/>
      <c r="D61" s="2"/>
      <c r="E61" s="2"/>
      <c r="F61" s="2"/>
      <c r="G61" s="2"/>
      <c r="H61" s="3"/>
    </row>
  </sheetData>
  <mergeCells count="5">
    <mergeCell ref="A1:H1"/>
    <mergeCell ref="B6:E6"/>
    <mergeCell ref="G6:H6"/>
    <mergeCell ref="B7:E7"/>
    <mergeCell ref="G7:H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A814-A380-4066-BCDF-C859D0A493B1}">
  <dimension ref="A1:H61"/>
  <sheetViews>
    <sheetView tabSelected="1" zoomScale="150" zoomScaleNormal="150" workbookViewId="0">
      <selection activeCell="E40" sqref="E40:F40"/>
    </sheetView>
  </sheetViews>
  <sheetFormatPr defaultRowHeight="12.75" x14ac:dyDescent="0.15"/>
  <cols>
    <col min="1" max="1" width="18.87890625" customWidth="1"/>
    <col min="5" max="5" width="19.55078125" customWidth="1"/>
  </cols>
  <sheetData>
    <row r="1" spans="1:8" ht="21" thickBot="1" x14ac:dyDescent="0.3">
      <c r="A1" s="99" t="s">
        <v>102</v>
      </c>
      <c r="B1" s="100"/>
      <c r="C1" s="100"/>
      <c r="D1" s="100"/>
      <c r="E1" s="100"/>
      <c r="F1" s="100"/>
      <c r="G1" s="100"/>
      <c r="H1" s="101"/>
    </row>
    <row r="2" spans="1:8" x14ac:dyDescent="0.15">
      <c r="A2" s="71" t="s">
        <v>20</v>
      </c>
      <c r="B2" s="72"/>
      <c r="C2" s="73"/>
      <c r="D2" s="73"/>
      <c r="E2" s="74"/>
      <c r="F2" s="72" t="s">
        <v>43</v>
      </c>
      <c r="G2" s="72"/>
      <c r="H2" s="75"/>
    </row>
    <row r="3" spans="1:8" x14ac:dyDescent="0.15">
      <c r="A3" s="76" t="s">
        <v>21</v>
      </c>
      <c r="B3" s="77"/>
      <c r="C3" s="78"/>
      <c r="D3" s="78"/>
      <c r="E3" s="78"/>
      <c r="F3" s="77" t="s">
        <v>46</v>
      </c>
      <c r="G3" s="77"/>
      <c r="H3" s="79"/>
    </row>
    <row r="4" spans="1:8" x14ac:dyDescent="0.15">
      <c r="A4" s="76" t="s">
        <v>22</v>
      </c>
      <c r="B4" s="77"/>
      <c r="C4" s="78"/>
      <c r="D4" s="78"/>
      <c r="E4" s="78"/>
      <c r="F4" s="77" t="s">
        <v>45</v>
      </c>
      <c r="G4" s="77"/>
      <c r="H4" s="79"/>
    </row>
    <row r="5" spans="1:8" x14ac:dyDescent="0.15">
      <c r="A5" s="80" t="s">
        <v>23</v>
      </c>
      <c r="B5" s="81"/>
      <c r="C5" s="82"/>
      <c r="D5" s="82"/>
      <c r="E5" s="82"/>
      <c r="F5" s="81" t="s">
        <v>44</v>
      </c>
      <c r="G5" s="81"/>
      <c r="H5" s="83"/>
    </row>
    <row r="6" spans="1:8" x14ac:dyDescent="0.15">
      <c r="A6" s="84"/>
      <c r="B6" s="110"/>
      <c r="C6" s="111"/>
      <c r="D6" s="111"/>
      <c r="E6" s="112"/>
      <c r="F6" s="65"/>
      <c r="G6" s="110"/>
      <c r="H6" s="113"/>
    </row>
    <row r="7" spans="1:8" ht="13.5" thickBot="1" x14ac:dyDescent="0.2">
      <c r="A7" s="67"/>
      <c r="B7" s="114"/>
      <c r="C7" s="115"/>
      <c r="D7" s="115"/>
      <c r="E7" s="116"/>
      <c r="F7" s="69"/>
      <c r="G7" s="114"/>
      <c r="H7" s="117"/>
    </row>
    <row r="8" spans="1:8" x14ac:dyDescent="0.15">
      <c r="A8" s="59"/>
      <c r="B8" s="61" t="s">
        <v>40</v>
      </c>
      <c r="C8" s="61" t="s">
        <v>41</v>
      </c>
      <c r="D8" s="61" t="s">
        <v>42</v>
      </c>
      <c r="E8" s="61"/>
      <c r="F8" s="61" t="s">
        <v>40</v>
      </c>
      <c r="G8" s="61" t="s">
        <v>41</v>
      </c>
      <c r="H8" s="62" t="s">
        <v>42</v>
      </c>
    </row>
    <row r="9" spans="1:8" x14ac:dyDescent="0.15">
      <c r="A9" s="63"/>
      <c r="B9" s="65" t="s">
        <v>39</v>
      </c>
      <c r="C9" s="65"/>
      <c r="D9" s="65"/>
      <c r="E9" s="65"/>
      <c r="F9" s="65" t="s">
        <v>39</v>
      </c>
      <c r="G9" s="65"/>
      <c r="H9" s="66"/>
    </row>
    <row r="10" spans="1:8" x14ac:dyDescent="0.15">
      <c r="A10" s="63" t="s">
        <v>57</v>
      </c>
      <c r="B10" s="64">
        <v>2.68</v>
      </c>
      <c r="C10" s="65"/>
      <c r="D10" s="65"/>
      <c r="E10" s="85"/>
      <c r="F10" s="65"/>
      <c r="G10" s="65"/>
      <c r="H10" s="66"/>
    </row>
    <row r="11" spans="1:8" x14ac:dyDescent="0.15">
      <c r="A11" s="63" t="s">
        <v>0</v>
      </c>
      <c r="B11" s="64">
        <f>('2023'!B11/100)*103.9</f>
        <v>3.0442700000000005</v>
      </c>
      <c r="C11" s="65"/>
      <c r="D11" s="65"/>
      <c r="E11" s="65" t="s">
        <v>49</v>
      </c>
      <c r="F11" s="64">
        <v>9.4</v>
      </c>
      <c r="G11" s="65"/>
      <c r="H11" s="66"/>
    </row>
    <row r="12" spans="1:8" x14ac:dyDescent="0.15">
      <c r="A12" s="63"/>
      <c r="B12" s="64"/>
      <c r="C12" s="65"/>
      <c r="D12" s="65"/>
      <c r="E12" s="65" t="s">
        <v>50</v>
      </c>
      <c r="F12" s="64">
        <v>9.4</v>
      </c>
      <c r="G12" s="65"/>
      <c r="H12" s="66"/>
    </row>
    <row r="13" spans="1:8" x14ac:dyDescent="0.15">
      <c r="A13" s="63" t="s">
        <v>53</v>
      </c>
      <c r="B13" s="64">
        <v>1.77</v>
      </c>
      <c r="C13" s="65"/>
      <c r="D13" s="65"/>
      <c r="E13" s="65"/>
      <c r="F13" s="64"/>
      <c r="G13" s="65"/>
      <c r="H13" s="66"/>
    </row>
    <row r="14" spans="1:8" x14ac:dyDescent="0.15">
      <c r="A14" s="63"/>
      <c r="B14" s="64"/>
      <c r="C14" s="65"/>
      <c r="D14" s="65"/>
      <c r="E14" s="65" t="s">
        <v>69</v>
      </c>
      <c r="F14" s="64">
        <v>10.44</v>
      </c>
      <c r="G14" s="65"/>
      <c r="H14" s="66"/>
    </row>
    <row r="15" spans="1:8" x14ac:dyDescent="0.15">
      <c r="A15" s="63" t="s">
        <v>1</v>
      </c>
      <c r="B15" s="64">
        <v>25.05</v>
      </c>
      <c r="C15" s="65"/>
      <c r="D15" s="65"/>
      <c r="E15" s="65" t="s">
        <v>24</v>
      </c>
      <c r="F15" s="64">
        <v>14.62</v>
      </c>
      <c r="G15" s="65"/>
      <c r="H15" s="66"/>
    </row>
    <row r="16" spans="1:8" x14ac:dyDescent="0.15">
      <c r="A16" s="63" t="s">
        <v>2</v>
      </c>
      <c r="B16" s="64">
        <v>16.7</v>
      </c>
      <c r="C16" s="65"/>
      <c r="D16" s="65"/>
      <c r="E16" s="86" t="s">
        <v>96</v>
      </c>
      <c r="F16" s="64">
        <v>10.44</v>
      </c>
      <c r="G16" s="65"/>
      <c r="H16" s="66"/>
    </row>
    <row r="17" spans="1:8" x14ac:dyDescent="0.15">
      <c r="A17" s="63" t="s">
        <v>3</v>
      </c>
      <c r="B17" s="64">
        <v>12.53</v>
      </c>
      <c r="C17" s="65"/>
      <c r="D17" s="65"/>
      <c r="E17" s="65" t="s">
        <v>54</v>
      </c>
      <c r="F17" s="64">
        <v>9.4</v>
      </c>
      <c r="G17" s="65"/>
      <c r="H17" s="66"/>
    </row>
    <row r="18" spans="1:8" x14ac:dyDescent="0.15">
      <c r="A18" s="63" t="s">
        <v>52</v>
      </c>
      <c r="B18" s="64">
        <v>8.35</v>
      </c>
      <c r="C18" s="65"/>
      <c r="D18" s="65"/>
      <c r="E18" s="65" t="s">
        <v>55</v>
      </c>
      <c r="F18" s="64">
        <v>1.1399999999999999</v>
      </c>
      <c r="G18" s="65"/>
      <c r="H18" s="66"/>
    </row>
    <row r="19" spans="1:8" x14ac:dyDescent="0.15">
      <c r="A19" s="63" t="s">
        <v>4</v>
      </c>
      <c r="B19" s="64">
        <v>4.18</v>
      </c>
      <c r="C19" s="65"/>
      <c r="D19" s="65"/>
      <c r="E19" s="65"/>
      <c r="F19" s="64"/>
      <c r="G19" s="65"/>
      <c r="H19" s="66"/>
    </row>
    <row r="20" spans="1:8" x14ac:dyDescent="0.15">
      <c r="A20" s="63"/>
      <c r="B20" s="64"/>
      <c r="C20" s="65"/>
      <c r="D20" s="65"/>
      <c r="E20" s="65" t="s">
        <v>25</v>
      </c>
      <c r="F20" s="64">
        <v>4.51</v>
      </c>
      <c r="G20" s="65"/>
      <c r="H20" s="66"/>
    </row>
    <row r="21" spans="1:8" x14ac:dyDescent="0.15">
      <c r="A21" s="63" t="s">
        <v>7</v>
      </c>
      <c r="B21" s="64">
        <v>17.75</v>
      </c>
      <c r="C21" s="65"/>
      <c r="D21" s="65"/>
      <c r="E21" s="65" t="s">
        <v>89</v>
      </c>
      <c r="F21" s="64">
        <v>38.99</v>
      </c>
      <c r="G21" s="65"/>
      <c r="H21" s="66"/>
    </row>
    <row r="22" spans="1:8" x14ac:dyDescent="0.15">
      <c r="A22" s="63" t="s">
        <v>72</v>
      </c>
      <c r="B22" s="64">
        <v>16.71</v>
      </c>
      <c r="C22" s="65"/>
      <c r="D22" s="65"/>
      <c r="E22" s="65" t="s">
        <v>90</v>
      </c>
      <c r="F22" s="64">
        <v>38.99</v>
      </c>
      <c r="G22" s="65"/>
      <c r="H22" s="66"/>
    </row>
    <row r="23" spans="1:8" x14ac:dyDescent="0.15">
      <c r="A23" s="87" t="s">
        <v>8</v>
      </c>
      <c r="B23" s="64">
        <v>6.26</v>
      </c>
      <c r="C23" s="65"/>
      <c r="D23" s="65"/>
      <c r="E23" s="65" t="s">
        <v>26</v>
      </c>
      <c r="F23" s="64">
        <v>3.99</v>
      </c>
      <c r="G23" s="65"/>
      <c r="H23" s="66"/>
    </row>
    <row r="24" spans="1:8" x14ac:dyDescent="0.15">
      <c r="A24" s="87" t="s">
        <v>9</v>
      </c>
      <c r="B24" s="64">
        <v>6.26</v>
      </c>
      <c r="C24" s="65"/>
      <c r="D24" s="65"/>
      <c r="E24" s="65" t="s">
        <v>27</v>
      </c>
      <c r="F24" s="64">
        <v>3.99</v>
      </c>
      <c r="G24" s="65"/>
      <c r="H24" s="66"/>
    </row>
    <row r="25" spans="1:8" x14ac:dyDescent="0.15">
      <c r="A25" s="87" t="s">
        <v>10</v>
      </c>
      <c r="B25" s="64">
        <v>5.22</v>
      </c>
      <c r="C25" s="65"/>
      <c r="D25" s="65"/>
      <c r="E25" s="65" t="s">
        <v>28</v>
      </c>
      <c r="F25" s="64">
        <v>3.99</v>
      </c>
      <c r="G25" s="65"/>
      <c r="H25" s="66"/>
    </row>
    <row r="26" spans="1:8" x14ac:dyDescent="0.15">
      <c r="A26" s="87" t="s">
        <v>11</v>
      </c>
      <c r="B26" s="64">
        <v>5.22</v>
      </c>
      <c r="C26" s="65"/>
      <c r="D26" s="65"/>
      <c r="E26" s="65" t="s">
        <v>29</v>
      </c>
      <c r="F26" s="64">
        <v>3.99</v>
      </c>
      <c r="G26" s="65"/>
      <c r="H26" s="66"/>
    </row>
    <row r="27" spans="1:8" x14ac:dyDescent="0.15">
      <c r="A27" s="87" t="s">
        <v>12</v>
      </c>
      <c r="B27" s="64">
        <v>5.22</v>
      </c>
      <c r="C27" s="65"/>
      <c r="D27" s="65"/>
      <c r="E27" s="65" t="s">
        <v>30</v>
      </c>
      <c r="F27" s="64">
        <v>3.99</v>
      </c>
      <c r="G27" s="65"/>
      <c r="H27" s="66"/>
    </row>
    <row r="28" spans="1:8" x14ac:dyDescent="0.15">
      <c r="A28" s="87"/>
      <c r="B28" s="64"/>
      <c r="C28" s="65"/>
      <c r="D28" s="65"/>
      <c r="E28" s="65" t="s">
        <v>31</v>
      </c>
      <c r="F28" s="64">
        <v>3.99</v>
      </c>
      <c r="G28" s="65"/>
      <c r="H28" s="66"/>
    </row>
    <row r="29" spans="1:8" x14ac:dyDescent="0.15">
      <c r="A29" s="87" t="s">
        <v>66</v>
      </c>
      <c r="B29" s="64">
        <v>2.85</v>
      </c>
      <c r="C29" s="65"/>
      <c r="D29" s="65"/>
      <c r="E29" s="65"/>
      <c r="F29" s="64"/>
      <c r="G29" s="65"/>
      <c r="H29" s="66"/>
    </row>
    <row r="30" spans="1:8" x14ac:dyDescent="0.15">
      <c r="A30" s="87" t="s">
        <v>67</v>
      </c>
      <c r="B30" s="64">
        <v>6.84</v>
      </c>
      <c r="C30" s="65"/>
      <c r="D30" s="65"/>
      <c r="E30" s="65" t="s">
        <v>78</v>
      </c>
      <c r="F30" s="64">
        <v>6.26</v>
      </c>
      <c r="G30" s="65"/>
      <c r="H30" s="66"/>
    </row>
    <row r="31" spans="1:8" x14ac:dyDescent="0.15">
      <c r="A31" s="87"/>
      <c r="B31" s="64"/>
      <c r="C31" s="65"/>
      <c r="D31" s="65"/>
      <c r="E31" s="65"/>
      <c r="F31" s="64"/>
      <c r="G31" s="65"/>
      <c r="H31" s="66"/>
    </row>
    <row r="32" spans="1:8" x14ac:dyDescent="0.15">
      <c r="A32" s="87"/>
      <c r="B32" s="64"/>
      <c r="C32" s="65"/>
      <c r="D32" s="65"/>
      <c r="E32" s="65" t="s">
        <v>76</v>
      </c>
      <c r="F32" s="64">
        <v>5.15</v>
      </c>
      <c r="G32" s="65"/>
      <c r="H32" s="66"/>
    </row>
    <row r="33" spans="1:8" x14ac:dyDescent="0.15">
      <c r="A33" s="87" t="s">
        <v>15</v>
      </c>
      <c r="B33" s="64">
        <v>5.22</v>
      </c>
      <c r="C33" s="65"/>
      <c r="D33" s="65"/>
      <c r="E33" s="65" t="s">
        <v>47</v>
      </c>
      <c r="F33" s="64">
        <v>9.73</v>
      </c>
      <c r="G33" s="65"/>
      <c r="H33" s="66"/>
    </row>
    <row r="34" spans="1:8" x14ac:dyDescent="0.15">
      <c r="A34" s="87" t="s">
        <v>16</v>
      </c>
      <c r="B34" s="64">
        <v>3.92</v>
      </c>
      <c r="C34" s="65"/>
      <c r="D34" s="65"/>
      <c r="E34" s="65" t="s">
        <v>81</v>
      </c>
      <c r="F34" s="64">
        <v>6.15</v>
      </c>
      <c r="G34" s="65"/>
      <c r="H34" s="66"/>
    </row>
    <row r="35" spans="1:8" x14ac:dyDescent="0.15">
      <c r="A35" s="87" t="s">
        <v>17</v>
      </c>
      <c r="B35" s="64">
        <v>3.92</v>
      </c>
      <c r="C35" s="65"/>
      <c r="D35" s="65"/>
      <c r="E35" s="65" t="s">
        <v>82</v>
      </c>
      <c r="F35" s="64">
        <v>10.33</v>
      </c>
      <c r="G35" s="65"/>
      <c r="H35" s="66"/>
    </row>
    <row r="36" spans="1:8" x14ac:dyDescent="0.15">
      <c r="A36" s="87" t="s">
        <v>18</v>
      </c>
      <c r="B36" s="64">
        <v>3.13</v>
      </c>
      <c r="C36" s="65"/>
      <c r="D36" s="65"/>
      <c r="E36" s="86" t="s">
        <v>100</v>
      </c>
      <c r="F36" s="64">
        <v>6.28</v>
      </c>
      <c r="G36" s="65"/>
      <c r="H36" s="66"/>
    </row>
    <row r="37" spans="1:8" x14ac:dyDescent="0.15">
      <c r="A37" s="87" t="s">
        <v>19</v>
      </c>
      <c r="B37" s="64">
        <v>3.13</v>
      </c>
      <c r="C37" s="65"/>
      <c r="D37" s="65"/>
      <c r="E37" s="65" t="s">
        <v>79</v>
      </c>
      <c r="F37" s="64">
        <v>303.08</v>
      </c>
      <c r="G37" s="65"/>
      <c r="H37" s="66"/>
    </row>
    <row r="38" spans="1:8" x14ac:dyDescent="0.15">
      <c r="A38" s="87" t="s">
        <v>87</v>
      </c>
      <c r="B38" s="64">
        <v>51.35</v>
      </c>
      <c r="C38" s="65"/>
      <c r="D38" s="65"/>
      <c r="E38" s="88" t="s">
        <v>80</v>
      </c>
      <c r="F38" s="64">
        <v>153.07</v>
      </c>
      <c r="G38" s="65"/>
      <c r="H38" s="66"/>
    </row>
    <row r="39" spans="1:8" x14ac:dyDescent="0.15">
      <c r="A39" s="87" t="s">
        <v>88</v>
      </c>
      <c r="B39" s="64">
        <v>13.39</v>
      </c>
      <c r="C39" s="65"/>
      <c r="D39" s="65"/>
      <c r="E39" s="65"/>
      <c r="F39" s="64"/>
      <c r="G39" s="65"/>
      <c r="H39" s="66"/>
    </row>
    <row r="40" spans="1:8" x14ac:dyDescent="0.15">
      <c r="A40" s="87"/>
      <c r="B40" s="64"/>
      <c r="C40" s="65"/>
      <c r="D40" s="65"/>
      <c r="E40" s="65"/>
      <c r="F40" s="64"/>
      <c r="G40" s="65"/>
      <c r="H40" s="66"/>
    </row>
    <row r="41" spans="1:8" x14ac:dyDescent="0.15">
      <c r="A41" s="87" t="s">
        <v>68</v>
      </c>
      <c r="B41" s="64">
        <v>14.62</v>
      </c>
      <c r="C41" s="65"/>
      <c r="D41" s="65"/>
      <c r="E41" s="65"/>
      <c r="F41" s="64"/>
      <c r="G41" s="65"/>
      <c r="H41" s="66"/>
    </row>
    <row r="42" spans="1:8" ht="13.5" thickBot="1" x14ac:dyDescent="0.2">
      <c r="A42" s="87" t="s">
        <v>93</v>
      </c>
      <c r="B42" s="64">
        <v>14.62</v>
      </c>
      <c r="C42" s="65"/>
      <c r="D42" s="65"/>
      <c r="E42" s="88"/>
      <c r="F42" s="89"/>
      <c r="G42" s="88"/>
      <c r="H42" s="90"/>
    </row>
    <row r="43" spans="1:8" x14ac:dyDescent="0.15">
      <c r="A43" s="87" t="s">
        <v>94</v>
      </c>
      <c r="B43" s="64">
        <v>18.79</v>
      </c>
      <c r="C43" s="65"/>
      <c r="D43" s="91"/>
      <c r="E43" s="59" t="s">
        <v>103</v>
      </c>
      <c r="F43" s="60"/>
      <c r="G43" s="61"/>
      <c r="H43" s="62"/>
    </row>
    <row r="44" spans="1:8" x14ac:dyDescent="0.15">
      <c r="A44" s="92"/>
      <c r="B44" s="64"/>
      <c r="C44" s="65"/>
      <c r="D44" s="77"/>
      <c r="E44" s="63" t="s">
        <v>104</v>
      </c>
      <c r="F44" s="64"/>
      <c r="G44" s="65"/>
      <c r="H44" s="66"/>
    </row>
    <row r="45" spans="1:8" x14ac:dyDescent="0.15">
      <c r="A45" s="87" t="s">
        <v>59</v>
      </c>
      <c r="B45" s="64">
        <v>5.51</v>
      </c>
      <c r="C45" s="65"/>
      <c r="D45" s="77"/>
      <c r="E45" s="63" t="s">
        <v>35</v>
      </c>
      <c r="F45" s="64">
        <v>3.45</v>
      </c>
      <c r="G45" s="65"/>
      <c r="H45" s="66"/>
    </row>
    <row r="46" spans="1:8" x14ac:dyDescent="0.15">
      <c r="A46" s="87" t="s">
        <v>60</v>
      </c>
      <c r="B46" s="64">
        <v>11.02</v>
      </c>
      <c r="C46" s="65"/>
      <c r="D46" s="77"/>
      <c r="E46" s="63" t="s">
        <v>83</v>
      </c>
      <c r="F46" s="64">
        <v>9.67</v>
      </c>
      <c r="G46" s="65"/>
      <c r="H46" s="66"/>
    </row>
    <row r="47" spans="1:8" x14ac:dyDescent="0.15">
      <c r="A47" s="87" t="s">
        <v>61</v>
      </c>
      <c r="B47" s="64">
        <v>16.53</v>
      </c>
      <c r="C47" s="65"/>
      <c r="D47" s="77"/>
      <c r="E47" s="63" t="s">
        <v>105</v>
      </c>
      <c r="F47" s="64">
        <v>11.49</v>
      </c>
      <c r="G47" s="65"/>
      <c r="H47" s="66"/>
    </row>
    <row r="48" spans="1:8" x14ac:dyDescent="0.15">
      <c r="A48" s="87" t="s">
        <v>62</v>
      </c>
      <c r="B48" s="64">
        <v>22.04</v>
      </c>
      <c r="C48" s="65"/>
      <c r="D48" s="77"/>
      <c r="E48" s="63" t="s">
        <v>101</v>
      </c>
      <c r="F48" s="64">
        <v>4.7</v>
      </c>
      <c r="G48" s="65"/>
      <c r="H48" s="66"/>
    </row>
    <row r="49" spans="1:8" x14ac:dyDescent="0.15">
      <c r="A49" s="63" t="s">
        <v>63</v>
      </c>
      <c r="B49" s="64">
        <v>27.55</v>
      </c>
      <c r="C49" s="65"/>
      <c r="D49" s="77"/>
      <c r="E49" s="63" t="s">
        <v>106</v>
      </c>
      <c r="F49" s="64"/>
      <c r="G49" s="65"/>
      <c r="H49" s="66"/>
    </row>
    <row r="50" spans="1:8" x14ac:dyDescent="0.15">
      <c r="A50" s="63" t="s">
        <v>64</v>
      </c>
      <c r="B50" s="64">
        <v>33.94</v>
      </c>
      <c r="C50" s="65"/>
      <c r="D50" s="77"/>
      <c r="E50" s="63" t="s">
        <v>107</v>
      </c>
      <c r="F50" s="64">
        <v>2.12</v>
      </c>
      <c r="G50" s="65"/>
      <c r="H50" s="66"/>
    </row>
    <row r="51" spans="1:8" x14ac:dyDescent="0.15">
      <c r="A51" s="63" t="s">
        <v>95</v>
      </c>
      <c r="B51" s="64">
        <v>23.94</v>
      </c>
      <c r="C51" s="65"/>
      <c r="D51" s="77"/>
      <c r="E51" s="63" t="s">
        <v>37</v>
      </c>
      <c r="F51" s="64"/>
      <c r="G51" s="65"/>
      <c r="H51" s="66"/>
    </row>
    <row r="52" spans="1:8" x14ac:dyDescent="0.15">
      <c r="A52" s="63"/>
      <c r="B52" s="64"/>
      <c r="C52" s="65"/>
      <c r="D52" s="77"/>
      <c r="E52" s="63" t="s">
        <v>38</v>
      </c>
      <c r="F52" s="64"/>
      <c r="G52" s="65"/>
      <c r="H52" s="66"/>
    </row>
    <row r="53" spans="1:8" x14ac:dyDescent="0.15">
      <c r="A53" s="63" t="s">
        <v>65</v>
      </c>
      <c r="B53" s="64">
        <v>17.12</v>
      </c>
      <c r="C53" s="65"/>
      <c r="D53" s="77"/>
      <c r="E53" s="63" t="s">
        <v>108</v>
      </c>
      <c r="F53" s="64">
        <v>42.98</v>
      </c>
      <c r="G53" s="65"/>
      <c r="H53" s="66"/>
    </row>
    <row r="54" spans="1:8" x14ac:dyDescent="0.15">
      <c r="A54" s="63"/>
      <c r="B54" s="64"/>
      <c r="C54" s="65"/>
      <c r="D54" s="77"/>
      <c r="E54" s="63" t="s">
        <v>109</v>
      </c>
      <c r="F54" s="64">
        <v>49.38</v>
      </c>
      <c r="G54" s="65"/>
      <c r="H54" s="66"/>
    </row>
    <row r="55" spans="1:8" ht="13.5" thickBot="1" x14ac:dyDescent="0.2">
      <c r="A55" s="67"/>
      <c r="B55" s="68"/>
      <c r="C55" s="69"/>
      <c r="D55" s="93"/>
      <c r="E55" s="67" t="s">
        <v>99</v>
      </c>
      <c r="F55" s="68">
        <v>22.26</v>
      </c>
      <c r="G55" s="69"/>
      <c r="H55" s="70"/>
    </row>
    <row r="56" spans="1:8" x14ac:dyDescent="0.15">
      <c r="A56" s="94" t="s">
        <v>85</v>
      </c>
      <c r="B56" s="95"/>
      <c r="C56" s="95"/>
      <c r="D56" s="95"/>
      <c r="E56" s="96"/>
      <c r="F56" s="96"/>
      <c r="G56" s="96"/>
      <c r="H56" s="97"/>
    </row>
    <row r="57" spans="1:8" x14ac:dyDescent="0.15">
      <c r="A57" s="92"/>
      <c r="B57" s="96"/>
      <c r="C57" s="96"/>
      <c r="D57" s="96"/>
      <c r="E57" s="96"/>
      <c r="F57" s="96"/>
      <c r="G57" s="96"/>
      <c r="H57" s="97"/>
    </row>
    <row r="58" spans="1:8" x14ac:dyDescent="0.15">
      <c r="A58" s="51"/>
      <c r="B58" s="44"/>
      <c r="C58" s="44"/>
      <c r="D58" s="44"/>
      <c r="E58" s="44"/>
      <c r="F58" s="44"/>
      <c r="G58" s="44"/>
      <c r="H58" s="46"/>
    </row>
    <row r="59" spans="1:8" x14ac:dyDescent="0.15">
      <c r="A59" s="51"/>
      <c r="B59" s="44"/>
      <c r="C59" s="44"/>
      <c r="D59" s="44"/>
      <c r="E59" s="44"/>
      <c r="F59" s="44"/>
      <c r="G59" s="44"/>
      <c r="H59" s="46"/>
    </row>
    <row r="60" spans="1:8" x14ac:dyDescent="0.15">
      <c r="A60" s="51"/>
      <c r="B60" s="44"/>
      <c r="C60" s="44"/>
      <c r="D60" s="44"/>
      <c r="E60" s="44"/>
      <c r="F60" s="44"/>
      <c r="G60" s="44"/>
      <c r="H60" s="46"/>
    </row>
    <row r="61" spans="1:8" ht="13.5" thickBot="1" x14ac:dyDescent="0.2">
      <c r="A61" s="52"/>
      <c r="B61" s="2"/>
      <c r="C61" s="2"/>
      <c r="D61" s="2"/>
      <c r="E61" s="2"/>
      <c r="F61" s="2"/>
      <c r="G61" s="2"/>
      <c r="H61" s="3"/>
    </row>
  </sheetData>
  <mergeCells count="5">
    <mergeCell ref="A1:H1"/>
    <mergeCell ref="B6:E6"/>
    <mergeCell ref="G6:H6"/>
    <mergeCell ref="B7:E7"/>
    <mergeCell ref="G7:H7"/>
  </mergeCells>
  <pageMargins left="0.51181102362204722" right="0.11811023622047245" top="0.35433070866141736" bottom="0.35433070866141736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B141F88E2FBC4FB98D48A8E9353E02" ma:contentTypeVersion="6" ma:contentTypeDescription="Opret et nyt dokument." ma:contentTypeScope="" ma:versionID="afba924230e4227dd3d7932965864675">
  <xsd:schema xmlns:xsd="http://www.w3.org/2001/XMLSchema" xmlns:xs="http://www.w3.org/2001/XMLSchema" xmlns:p="http://schemas.microsoft.com/office/2006/metadata/properties" xmlns:ns2="030bee3d-1ce2-4fbb-88cd-0a619017b920" targetNamespace="http://schemas.microsoft.com/office/2006/metadata/properties" ma:root="true" ma:fieldsID="7605a245c28e57c9b4f27f09433f2800" ns2:_="">
    <xsd:import namespace="030bee3d-1ce2-4fbb-88cd-0a619017b9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bee3d-1ce2-4fbb-88cd-0a619017b9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0DBF3-36DC-4D26-88E2-954C80A654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691AC8-FF01-459C-B9B4-E81EF5046E6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30bee3d-1ce2-4fbb-88cd-0a619017b9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Faktor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2025</vt:lpstr>
    </vt:vector>
  </TitlesOfParts>
  <Company>Hulmose Stilladser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Hulmose Stilladser</dc:creator>
  <cp:lastModifiedBy>X</cp:lastModifiedBy>
  <cp:lastPrinted>2025-05-19T09:09:03Z</cp:lastPrinted>
  <dcterms:created xsi:type="dcterms:W3CDTF">2003-02-05T16:24:48Z</dcterms:created>
  <dcterms:modified xsi:type="dcterms:W3CDTF">2025-11-15T10:07:08Z</dcterms:modified>
</cp:coreProperties>
</file>