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7b\AC\Temp\"/>
    </mc:Choice>
  </mc:AlternateContent>
  <xr:revisionPtr revIDLastSave="0" documentId="8_{1E98C8D2-4DE0-9947-ABCF-5F1852C982E6}" xr6:coauthVersionLast="47" xr6:coauthVersionMax="47" xr10:uidLastSave="{00000000-0000-0000-0000-000000000000}"/>
  <bookViews>
    <workbookView xWindow="-60" yWindow="-60" windowWidth="15480" windowHeight="11640" firstSheet="4" activeTab="12" xr2:uid="{79888219-0ED8-4E46-A84D-8DA21081B045}"/>
  </bookViews>
  <sheets>
    <sheet name="Faktor" sheetId="2" r:id="rId1"/>
    <sheet name="Ark2" sheetId="9" r:id="rId2"/>
    <sheet name="2014" sheetId="1" r:id="rId3"/>
    <sheet name="2015" sheetId="3" r:id="rId4"/>
    <sheet name="2016" sheetId="4" r:id="rId5"/>
    <sheet name="2017" sheetId="5" r:id="rId6"/>
    <sheet name="2018" sheetId="6" r:id="rId7"/>
    <sheet name="2019" sheetId="7" r:id="rId8"/>
    <sheet name="2020" sheetId="8" r:id="rId9"/>
    <sheet name="2021" sheetId="10" r:id="rId10"/>
    <sheet name="2023" sheetId="11" r:id="rId11"/>
    <sheet name="2024" sheetId="12" r:id="rId12"/>
    <sheet name="2025" sheetId="13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3" l="1"/>
  <c r="F9" i="13"/>
  <c r="F10" i="13"/>
  <c r="F12" i="13"/>
  <c r="F13" i="13"/>
  <c r="F14" i="13"/>
  <c r="F15" i="13"/>
  <c r="F16" i="13"/>
  <c r="F17" i="13"/>
  <c r="F18" i="13"/>
  <c r="F19" i="13"/>
  <c r="F20" i="13"/>
  <c r="F23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1" i="13"/>
  <c r="F42" i="13"/>
  <c r="F43" i="13"/>
  <c r="F45" i="13"/>
  <c r="B8" i="13"/>
  <c r="B9" i="13"/>
  <c r="B11" i="13"/>
  <c r="B12" i="13"/>
  <c r="B13" i="13"/>
  <c r="B14" i="13"/>
  <c r="B15" i="13"/>
  <c r="B16" i="13"/>
  <c r="B17" i="13"/>
  <c r="B18" i="13"/>
  <c r="B23" i="13"/>
  <c r="B24" i="13"/>
  <c r="B27" i="13"/>
  <c r="B28" i="13"/>
  <c r="B29" i="13"/>
  <c r="B31" i="13"/>
  <c r="B33" i="13"/>
  <c r="B34" i="13"/>
  <c r="B35" i="13"/>
  <c r="B36" i="13"/>
  <c r="B37" i="13"/>
  <c r="B40" i="13"/>
  <c r="B41" i="13"/>
  <c r="B42" i="13"/>
  <c r="B44" i="13"/>
  <c r="B45" i="13"/>
  <c r="B46" i="13"/>
  <c r="B48" i="13"/>
  <c r="B49" i="13"/>
  <c r="B50" i="13"/>
  <c r="B52" i="13"/>
  <c r="B55" i="13"/>
  <c r="B56" i="13"/>
  <c r="B61" i="13"/>
  <c r="B7" i="13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5" i="12"/>
  <c r="F26" i="12"/>
  <c r="F27" i="12"/>
  <c r="F30" i="12"/>
  <c r="F32" i="12"/>
  <c r="F33" i="12"/>
  <c r="F34" i="12"/>
  <c r="F37" i="12"/>
  <c r="F38" i="12"/>
  <c r="F39" i="12"/>
  <c r="F40" i="12"/>
  <c r="F42" i="12"/>
  <c r="F43" i="12"/>
  <c r="F44" i="12"/>
  <c r="F46" i="12"/>
  <c r="F47" i="12"/>
  <c r="F51" i="12"/>
  <c r="F52" i="12"/>
  <c r="F53" i="12"/>
  <c r="F54" i="12"/>
  <c r="F56" i="12"/>
  <c r="F59" i="12"/>
  <c r="F60" i="12"/>
  <c r="F61" i="12"/>
  <c r="F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6" i="12"/>
  <c r="B37" i="12"/>
  <c r="B38" i="12"/>
  <c r="B39" i="12"/>
  <c r="B42" i="12"/>
  <c r="B43" i="12"/>
  <c r="B44" i="12"/>
  <c r="B45" i="12"/>
  <c r="B46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7" i="12"/>
  <c r="F24" i="11"/>
  <c r="F23" i="11"/>
  <c r="F22" i="11"/>
  <c r="F21" i="11"/>
  <c r="F20" i="11"/>
  <c r="F19" i="11"/>
  <c r="F42" i="10"/>
  <c r="B36" i="10"/>
  <c r="F28" i="10"/>
  <c r="B7" i="7"/>
  <c r="B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4" i="8"/>
  <c r="F57" i="8"/>
  <c r="F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F8" i="7"/>
  <c r="F9" i="7"/>
  <c r="F12" i="7"/>
  <c r="F13" i="7"/>
  <c r="F16" i="7"/>
  <c r="F17" i="7"/>
  <c r="F21" i="7"/>
  <c r="F24" i="7"/>
  <c r="F27" i="7"/>
  <c r="F28" i="7"/>
  <c r="F29" i="7"/>
  <c r="F37" i="7"/>
  <c r="F41" i="7"/>
  <c r="F45" i="7"/>
  <c r="F50" i="7"/>
  <c r="B10" i="7"/>
  <c r="B11" i="7"/>
  <c r="B15" i="7"/>
  <c r="B18" i="7"/>
  <c r="B23" i="7"/>
  <c r="B26" i="7"/>
  <c r="B30" i="7"/>
  <c r="B31" i="7"/>
  <c r="B38" i="7"/>
  <c r="B39" i="7"/>
  <c r="B43" i="7"/>
  <c r="B46" i="7"/>
  <c r="B47" i="7"/>
  <c r="B51" i="7"/>
  <c r="B55" i="7"/>
  <c r="B58" i="7"/>
  <c r="B59" i="7"/>
  <c r="F42" i="6"/>
  <c r="F42" i="7"/>
  <c r="F43" i="6"/>
  <c r="F43" i="7"/>
  <c r="F44" i="6"/>
  <c r="F44" i="7"/>
  <c r="F11" i="6"/>
  <c r="F11" i="7"/>
  <c r="F19" i="6"/>
  <c r="F19" i="7"/>
  <c r="B11" i="6"/>
  <c r="B56" i="6"/>
  <c r="B56" i="7"/>
  <c r="B60" i="6"/>
  <c r="B60" i="7"/>
  <c r="F28" i="3"/>
  <c r="F29" i="4"/>
  <c r="F29" i="6"/>
  <c r="F24" i="1"/>
  <c r="F24" i="3"/>
  <c r="F24" i="4"/>
  <c r="F24" i="6"/>
  <c r="F23" i="1"/>
  <c r="F22" i="1"/>
  <c r="F21" i="1"/>
  <c r="F21" i="3"/>
  <c r="F21" i="4"/>
  <c r="F20" i="1"/>
  <c r="F20" i="3"/>
  <c r="F20" i="4"/>
  <c r="F20" i="6"/>
  <c r="F20" i="7"/>
  <c r="F26" i="3"/>
  <c r="F27" i="4"/>
  <c r="F27" i="5"/>
  <c r="F8" i="3"/>
  <c r="F8" i="4"/>
  <c r="F8" i="6"/>
  <c r="F9" i="3"/>
  <c r="F9" i="4"/>
  <c r="F9" i="6"/>
  <c r="F10" i="3"/>
  <c r="F10" i="4"/>
  <c r="F10" i="6"/>
  <c r="F10" i="7"/>
  <c r="F11" i="3"/>
  <c r="F11" i="4"/>
  <c r="F12" i="3"/>
  <c r="F12" i="4"/>
  <c r="F12" i="6"/>
  <c r="F13" i="3"/>
  <c r="F13" i="4"/>
  <c r="F13" i="6"/>
  <c r="F14" i="3"/>
  <c r="F14" i="4"/>
  <c r="F14" i="6"/>
  <c r="F14" i="7"/>
  <c r="F15" i="3"/>
  <c r="F15" i="4"/>
  <c r="F15" i="6"/>
  <c r="F15" i="7"/>
  <c r="F16" i="3"/>
  <c r="F16" i="4"/>
  <c r="F16" i="6"/>
  <c r="F17" i="3"/>
  <c r="F17" i="4"/>
  <c r="F17" i="6"/>
  <c r="F18" i="3"/>
  <c r="F18" i="4"/>
  <c r="F18" i="6"/>
  <c r="F18" i="7"/>
  <c r="F19" i="3"/>
  <c r="F19" i="4"/>
  <c r="F21" i="6"/>
  <c r="F22" i="3"/>
  <c r="F22" i="4"/>
  <c r="F22" i="6"/>
  <c r="F22" i="7"/>
  <c r="F23" i="3"/>
  <c r="F23" i="4"/>
  <c r="F23" i="6"/>
  <c r="F23" i="7"/>
  <c r="F25" i="3"/>
  <c r="F39" i="4"/>
  <c r="F39" i="6"/>
  <c r="F39" i="7"/>
  <c r="F27" i="3"/>
  <c r="F28" i="4"/>
  <c r="F29" i="3"/>
  <c r="F30" i="4"/>
  <c r="F30" i="6"/>
  <c r="F30" i="7"/>
  <c r="F30" i="3"/>
  <c r="F31" i="4"/>
  <c r="F31" i="6"/>
  <c r="F31" i="7"/>
  <c r="F31" i="3"/>
  <c r="F32" i="4"/>
  <c r="F32" i="5"/>
  <c r="F32" i="6"/>
  <c r="F32" i="7"/>
  <c r="F32" i="3"/>
  <c r="F33" i="4"/>
  <c r="F33" i="5"/>
  <c r="F33" i="6"/>
  <c r="F33" i="7"/>
  <c r="F33" i="3"/>
  <c r="F34" i="4"/>
  <c r="F34" i="5"/>
  <c r="F34" i="6"/>
  <c r="F34" i="7"/>
  <c r="F34" i="3"/>
  <c r="F35" i="4"/>
  <c r="F35" i="5"/>
  <c r="F35" i="6"/>
  <c r="F35" i="7"/>
  <c r="F35" i="3"/>
  <c r="F36" i="4"/>
  <c r="F36" i="6"/>
  <c r="F36" i="7"/>
  <c r="F36" i="3"/>
  <c r="F37" i="4"/>
  <c r="F37" i="6"/>
  <c r="F37" i="3"/>
  <c r="F38" i="4"/>
  <c r="F38" i="6"/>
  <c r="F38" i="7"/>
  <c r="F39" i="3"/>
  <c r="F40" i="4"/>
  <c r="F40" i="6"/>
  <c r="F40" i="7"/>
  <c r="F40" i="3"/>
  <c r="F41" i="4"/>
  <c r="F41" i="6"/>
  <c r="F45" i="3"/>
  <c r="F46" i="4"/>
  <c r="F46" i="5"/>
  <c r="F46" i="6"/>
  <c r="F46" i="7"/>
  <c r="F46" i="3"/>
  <c r="F47" i="4"/>
  <c r="F47" i="6"/>
  <c r="F47" i="7"/>
  <c r="F47" i="3"/>
  <c r="F48" i="4"/>
  <c r="F48" i="5"/>
  <c r="F48" i="6"/>
  <c r="F48" i="3"/>
  <c r="F49" i="4"/>
  <c r="F49" i="5"/>
  <c r="F49" i="6"/>
  <c r="F49" i="7"/>
  <c r="F52" i="3"/>
  <c r="F53" i="4"/>
  <c r="F53" i="5"/>
  <c r="F53" i="6"/>
  <c r="F55" i="3"/>
  <c r="F56" i="4"/>
  <c r="F56" i="3"/>
  <c r="F57" i="4"/>
  <c r="F57" i="5"/>
  <c r="F57" i="6"/>
  <c r="F7" i="3"/>
  <c r="F7" i="4"/>
  <c r="F7" i="6"/>
  <c r="F7" i="7"/>
  <c r="B8" i="3"/>
  <c r="B9" i="3"/>
  <c r="B10" i="3"/>
  <c r="B10" i="4"/>
  <c r="B10" i="5"/>
  <c r="B11" i="3"/>
  <c r="B11" i="4"/>
  <c r="B12" i="3"/>
  <c r="B12" i="4"/>
  <c r="B13" i="3"/>
  <c r="B13" i="4"/>
  <c r="B14" i="3"/>
  <c r="B15" i="3"/>
  <c r="B15" i="4"/>
  <c r="B16" i="3"/>
  <c r="B16" i="4"/>
  <c r="B17" i="3"/>
  <c r="B17" i="4"/>
  <c r="B18" i="3"/>
  <c r="B18" i="4"/>
  <c r="B19" i="3"/>
  <c r="B19" i="4"/>
  <c r="B19" i="6"/>
  <c r="B19" i="7"/>
  <c r="B20" i="3"/>
  <c r="B20" i="4"/>
  <c r="B21" i="3"/>
  <c r="B22" i="3"/>
  <c r="B22" i="4"/>
  <c r="B23" i="3"/>
  <c r="B24" i="3"/>
  <c r="B24" i="4"/>
  <c r="B25" i="3"/>
  <c r="B25" i="4"/>
  <c r="B26" i="3"/>
  <c r="B27" i="4"/>
  <c r="B27" i="6"/>
  <c r="B27" i="7"/>
  <c r="B27" i="3"/>
  <c r="B28" i="4"/>
  <c r="B28" i="3"/>
  <c r="B29" i="4"/>
  <c r="B29" i="3"/>
  <c r="B30" i="4"/>
  <c r="B30" i="3"/>
  <c r="B31" i="4"/>
  <c r="B31" i="3"/>
  <c r="B32" i="4"/>
  <c r="B32" i="3"/>
  <c r="B33" i="3"/>
  <c r="B34" i="4"/>
  <c r="B35" i="5"/>
  <c r="B35" i="6"/>
  <c r="B35" i="7"/>
  <c r="B34" i="3"/>
  <c r="B35" i="4"/>
  <c r="B35" i="3"/>
  <c r="B36" i="4"/>
  <c r="B36" i="6"/>
  <c r="B36" i="7"/>
  <c r="B36" i="3"/>
  <c r="B37" i="3"/>
  <c r="B38" i="4"/>
  <c r="B38" i="3"/>
  <c r="B39" i="4"/>
  <c r="B40" i="6"/>
  <c r="B40" i="7"/>
  <c r="B39" i="3"/>
  <c r="B40" i="4"/>
  <c r="B40" i="3"/>
  <c r="B41" i="3"/>
  <c r="B42" i="4"/>
  <c r="B42" i="3"/>
  <c r="B43" i="4"/>
  <c r="B43" i="3"/>
  <c r="B44" i="4"/>
  <c r="B45" i="6"/>
  <c r="B45" i="7"/>
  <c r="B44" i="3"/>
  <c r="B45" i="4"/>
  <c r="B45" i="3"/>
  <c r="B46" i="3"/>
  <c r="B48" i="4"/>
  <c r="B47" i="3"/>
  <c r="B49" i="4"/>
  <c r="B48" i="6"/>
  <c r="B48" i="7"/>
  <c r="B48" i="3"/>
  <c r="B50" i="4"/>
  <c r="B49" i="3"/>
  <c r="B50" i="3"/>
  <c r="F26" i="4"/>
  <c r="F26" i="6"/>
  <c r="F26" i="7"/>
  <c r="B51" i="3"/>
  <c r="B52" i="4"/>
  <c r="B52" i="3"/>
  <c r="B53" i="4"/>
  <c r="B52" i="6"/>
  <c r="B52" i="7"/>
  <c r="B53" i="3"/>
  <c r="B54" i="3"/>
  <c r="B55" i="4"/>
  <c r="B55" i="3"/>
  <c r="B56" i="4"/>
  <c r="B55" i="6"/>
  <c r="B56" i="3"/>
  <c r="B57" i="4"/>
  <c r="B57" i="3"/>
  <c r="B58" i="4"/>
  <c r="B57" i="6"/>
  <c r="B57" i="7"/>
  <c r="B58" i="3"/>
  <c r="B59" i="4"/>
  <c r="B59" i="3"/>
  <c r="B60" i="4"/>
  <c r="B59" i="6"/>
  <c r="B7" i="3"/>
  <c r="B7" i="4"/>
  <c r="B7" i="6"/>
  <c r="B47" i="6"/>
  <c r="B41" i="6"/>
  <c r="B41" i="7"/>
  <c r="B33" i="6"/>
  <c r="B33" i="7"/>
  <c r="B46" i="6"/>
  <c r="B29" i="6"/>
  <c r="B29" i="7"/>
  <c r="B9" i="6"/>
  <c r="B9" i="7"/>
  <c r="B46" i="4"/>
  <c r="B51" i="6"/>
  <c r="B41" i="4"/>
  <c r="B37" i="4"/>
  <c r="B33" i="4"/>
  <c r="B20" i="6"/>
  <c r="B20" i="7"/>
  <c r="B44" i="6"/>
  <c r="B44" i="7"/>
  <c r="B26" i="6"/>
  <c r="B18" i="6"/>
  <c r="F25" i="4"/>
  <c r="F25" i="6"/>
  <c r="F25" i="7"/>
  <c r="B38" i="6"/>
  <c r="B25" i="6"/>
  <c r="B25" i="7"/>
  <c r="B31" i="6"/>
  <c r="B24" i="6"/>
  <c r="B24" i="7"/>
  <c r="B12" i="6"/>
  <c r="B12" i="7"/>
  <c r="B58" i="6"/>
  <c r="B54" i="4"/>
  <c r="B50" i="6"/>
  <c r="B50" i="7"/>
  <c r="B37" i="6"/>
  <c r="B37" i="7"/>
  <c r="B23" i="4"/>
  <c r="B23" i="6"/>
  <c r="B14" i="4"/>
  <c r="B14" i="6"/>
  <c r="B14" i="7"/>
  <c r="B9" i="4"/>
  <c r="B43" i="6"/>
  <c r="B15" i="6"/>
  <c r="B42" i="6"/>
  <c r="B42" i="7"/>
  <c r="B34" i="6"/>
  <c r="B34" i="7"/>
  <c r="B17" i="6"/>
  <c r="B17" i="7"/>
  <c r="B39" i="6"/>
  <c r="B21" i="4"/>
  <c r="B21" i="6"/>
  <c r="B21" i="7"/>
  <c r="B28" i="6"/>
  <c r="B28" i="7"/>
  <c r="B16" i="6"/>
  <c r="B16" i="7"/>
  <c r="B54" i="6"/>
  <c r="B54" i="7"/>
  <c r="B53" i="6"/>
  <c r="B53" i="7"/>
  <c r="B49" i="6"/>
  <c r="B49" i="7"/>
  <c r="B32" i="6"/>
  <c r="B32" i="7"/>
  <c r="B22" i="6"/>
  <c r="B22" i="7"/>
  <c r="B13" i="6"/>
  <c r="B13" i="7"/>
  <c r="B8" i="4"/>
  <c r="B8" i="6"/>
  <c r="B8" i="7"/>
</calcChain>
</file>

<file path=xl/sharedStrings.xml><?xml version="1.0" encoding="utf-8"?>
<sst xmlns="http://schemas.openxmlformats.org/spreadsheetml/2006/main" count="1319" uniqueCount="150">
  <si>
    <t>Sted</t>
  </si>
  <si>
    <t>Opgave</t>
  </si>
  <si>
    <t>Kunde</t>
  </si>
  <si>
    <t>Sag nr.</t>
  </si>
  <si>
    <t>Spindelfod kort</t>
  </si>
  <si>
    <t>Spindelfod lang</t>
  </si>
  <si>
    <t>Ramme 200/70</t>
  </si>
  <si>
    <t>Ramme 150/70</t>
  </si>
  <si>
    <t>Ramme 100/70</t>
  </si>
  <si>
    <t>Ramme 80/70</t>
  </si>
  <si>
    <t>Ramme 66/70</t>
  </si>
  <si>
    <t>Gulvplade 300/70</t>
  </si>
  <si>
    <t>Gulvplade 250/70</t>
  </si>
  <si>
    <t>Gulvplade 200/70</t>
  </si>
  <si>
    <t>Gulvplade 150/70</t>
  </si>
  <si>
    <t>Gulvplade 125/70</t>
  </si>
  <si>
    <t>Gulvplade 70/70</t>
  </si>
  <si>
    <t>Gulvplade 300/35</t>
  </si>
  <si>
    <t>Gulvplade 250/35</t>
  </si>
  <si>
    <t>Gulvplade 200/35</t>
  </si>
  <si>
    <t>Gulvplade 125/35</t>
  </si>
  <si>
    <t>Stigedæk 300/70</t>
  </si>
  <si>
    <t>Stigedæk 250/70</t>
  </si>
  <si>
    <t>Stige 200</t>
  </si>
  <si>
    <t>Stige 300</t>
  </si>
  <si>
    <t>Diagonaler 200</t>
  </si>
  <si>
    <t>Diagonaler 203</t>
  </si>
  <si>
    <t>Gelænder 125</t>
  </si>
  <si>
    <t>Gelænder 150</t>
  </si>
  <si>
    <t>Gelænder 200</t>
  </si>
  <si>
    <t>Gelænder 250</t>
  </si>
  <si>
    <t>Gelænder 300</t>
  </si>
  <si>
    <t>Tvær Gel. 70</t>
  </si>
  <si>
    <t>Konsol 100</t>
  </si>
  <si>
    <t>Konsol 70</t>
  </si>
  <si>
    <t>Konsol 35</t>
  </si>
  <si>
    <t>Fodspark 300</t>
  </si>
  <si>
    <t>Fodspark 250</t>
  </si>
  <si>
    <t>Fodspark 200</t>
  </si>
  <si>
    <t>Fodspark 150</t>
  </si>
  <si>
    <t>Fodspark 125</t>
  </si>
  <si>
    <t>Kanthæk 300</t>
  </si>
  <si>
    <t>Kanthæk 250</t>
  </si>
  <si>
    <t>Kanthæk 70</t>
  </si>
  <si>
    <t>Grøn skilt</t>
  </si>
  <si>
    <t>Gelændertvinge</t>
  </si>
  <si>
    <t>Tværprofin ram.</t>
  </si>
  <si>
    <t>Tværprofil aludr.</t>
  </si>
  <si>
    <t>Samlerør til aludr.</t>
  </si>
  <si>
    <t>Fastkobling</t>
  </si>
  <si>
    <t>Drejekobling</t>
  </si>
  <si>
    <t>Kipfingerkobling</t>
  </si>
  <si>
    <t>SK Kobling</t>
  </si>
  <si>
    <t>Rørsamler</t>
  </si>
  <si>
    <t>Vippefod</t>
  </si>
  <si>
    <t>Ramme 200/100</t>
  </si>
  <si>
    <t>Tværgel. 100</t>
  </si>
  <si>
    <t>Dobb. Gel. St. 100</t>
  </si>
  <si>
    <t>Gelænderst. 100</t>
  </si>
  <si>
    <t>Dobb bundramme</t>
  </si>
  <si>
    <t>Tragt</t>
  </si>
  <si>
    <t>Skaktrør</t>
  </si>
  <si>
    <t>Plast pr kvm</t>
  </si>
  <si>
    <t>Net pr kvm</t>
  </si>
  <si>
    <t>Stigestøtte</t>
  </si>
  <si>
    <t>Plader pr kvm</t>
  </si>
  <si>
    <t>Planker    M</t>
  </si>
  <si>
    <t>Demontagepris</t>
  </si>
  <si>
    <t>Luk af hul</t>
  </si>
  <si>
    <t>Skur/dyrtid</t>
  </si>
  <si>
    <t>Km.</t>
  </si>
  <si>
    <t>Samlet pris</t>
  </si>
  <si>
    <t>Pris pr time</t>
  </si>
  <si>
    <t>Pris</t>
  </si>
  <si>
    <t>Antal</t>
  </si>
  <si>
    <t>I alt</t>
  </si>
  <si>
    <t>Dato</t>
  </si>
  <si>
    <t>Mont.</t>
  </si>
  <si>
    <t>Demo.</t>
  </si>
  <si>
    <t>Montør</t>
  </si>
  <si>
    <t>Tillæg     %+</t>
  </si>
  <si>
    <t>Rør Anker</t>
  </si>
  <si>
    <t>Alu trappeløb</t>
  </si>
  <si>
    <t>Gelænder trpl</t>
  </si>
  <si>
    <t>Hjulkonsoller</t>
  </si>
  <si>
    <t>Stilladsrør   1 M</t>
  </si>
  <si>
    <t>Stilladsrør   2 M</t>
  </si>
  <si>
    <t>Stilladsrør   4 M</t>
  </si>
  <si>
    <t>Stilladsrør   6 M</t>
  </si>
  <si>
    <t>Stilladsrør   3 M</t>
  </si>
  <si>
    <t>Stilladsrør   5 M</t>
  </si>
  <si>
    <t>Dob. G</t>
  </si>
  <si>
    <t>L Rør</t>
  </si>
  <si>
    <t>B Rør</t>
  </si>
  <si>
    <t>Flapper/Singel</t>
  </si>
  <si>
    <t>Bosta</t>
  </si>
  <si>
    <t>Dæklås</t>
  </si>
  <si>
    <t>Bøjleanker</t>
  </si>
  <si>
    <t>Dob. Tværgelænder</t>
  </si>
  <si>
    <t>Alu. Drager pr. m.</t>
  </si>
  <si>
    <t>Kanthæk 200</t>
  </si>
  <si>
    <t>Montagepris</t>
  </si>
  <si>
    <t>Alu.bro pr. m</t>
  </si>
  <si>
    <t>Ramme Kat. 2 tillæg</t>
  </si>
  <si>
    <t>Udkrag.70 tillæg</t>
  </si>
  <si>
    <t>Udkrag.35 tillæg</t>
  </si>
  <si>
    <t>Reklameskilt</t>
  </si>
  <si>
    <t>Strø / trykudligner</t>
  </si>
  <si>
    <t xml:space="preserve">Kirkefod </t>
  </si>
  <si>
    <t>Forøgelses faktor</t>
  </si>
  <si>
    <t>Startprofil til trappe</t>
  </si>
  <si>
    <t>Bosta 2016</t>
  </si>
  <si>
    <t>Gulvplade 150/35</t>
  </si>
  <si>
    <t>Konsol 140</t>
  </si>
  <si>
    <t>Geda hejs</t>
  </si>
  <si>
    <t>El hejs</t>
  </si>
  <si>
    <t>Bosta 2017</t>
  </si>
  <si>
    <t>Bosta 2018</t>
  </si>
  <si>
    <t>Bosta 2019</t>
  </si>
  <si>
    <t>Stigedæk 200/70</t>
  </si>
  <si>
    <t>Blindrum</t>
  </si>
  <si>
    <t>Grønne skilte</t>
  </si>
  <si>
    <t>Kegle u.fod</t>
  </si>
  <si>
    <t>Kegle m. fod</t>
  </si>
  <si>
    <t>Opskydeligt rækværk</t>
  </si>
  <si>
    <t>Bosta 2020</t>
  </si>
  <si>
    <t>Demo</t>
  </si>
  <si>
    <t xml:space="preserve">Bemærkninger: </t>
  </si>
  <si>
    <t>Bosta 2021</t>
  </si>
  <si>
    <t>Borring i beton</t>
  </si>
  <si>
    <t>Bosta 2023</t>
  </si>
  <si>
    <t>Ståldæk 300/35</t>
  </si>
  <si>
    <t>Ståldæk 250/35</t>
  </si>
  <si>
    <t>Ståldæk 200/35</t>
  </si>
  <si>
    <t>Stilladsrør 1M</t>
  </si>
  <si>
    <t>Stilladsrør 2M</t>
  </si>
  <si>
    <t>Stilladsrør 3M</t>
  </si>
  <si>
    <t>Stilladsrør 4M</t>
  </si>
  <si>
    <t>Stilladsrør 5M</t>
  </si>
  <si>
    <t>Stilladsrør 6M</t>
  </si>
  <si>
    <t>Stilladsrør 6M alu</t>
  </si>
  <si>
    <t>Rør anker alu</t>
  </si>
  <si>
    <t>Rør anker stål</t>
  </si>
  <si>
    <t xml:space="preserve">Huller </t>
  </si>
  <si>
    <t>Mentortillæg</t>
  </si>
  <si>
    <t>Udd. tillæg 1</t>
  </si>
  <si>
    <t>Udd. tillæg 2</t>
  </si>
  <si>
    <t>Bræt rød/hvid</t>
  </si>
  <si>
    <t>Bosta 2024</t>
  </si>
  <si>
    <t>Bosta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</si>
</sst>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1" xfId="0" applyBorder="1"/>
    <xf numFmtId="2" fontId="1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/>
    <xf numFmtId="0" fontId="0" fillId="0" borderId="7" xfId="0" applyBorder="1"/>
    <xf numFmtId="0" fontId="2" fillId="0" borderId="1" xfId="0" applyFont="1" applyBorder="1"/>
    <xf numFmtId="0" fontId="0" fillId="0" borderId="8" xfId="0" applyBorder="1"/>
    <xf numFmtId="0" fontId="3" fillId="0" borderId="0" xfId="0" applyFont="1"/>
    <xf numFmtId="0" fontId="4" fillId="0" borderId="0" xfId="0" applyFo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right"/>
    </xf>
    <xf numFmtId="2" fontId="1" fillId="0" borderId="18" xfId="0" applyNumberFormat="1" applyFont="1" applyBorder="1"/>
    <xf numFmtId="0" fontId="0" fillId="0" borderId="12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9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24" xfId="0" applyBorder="1" applyAlignment="1">
      <alignment horizontal="right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0" borderId="0" xfId="0" applyFont="1"/>
    <xf numFmtId="2" fontId="1" fillId="0" borderId="9" xfId="0" applyNumberFormat="1" applyFont="1" applyBorder="1"/>
    <xf numFmtId="2" fontId="1" fillId="0" borderId="5" xfId="0" applyNumberFormat="1" applyFont="1" applyBorder="1"/>
    <xf numFmtId="10" fontId="0" fillId="0" borderId="0" xfId="0" applyNumberFormat="1"/>
    <xf numFmtId="2" fontId="1" fillId="2" borderId="1" xfId="0" applyNumberFormat="1" applyFont="1" applyFill="1" applyBorder="1"/>
    <xf numFmtId="0" fontId="2" fillId="2" borderId="1" xfId="0" applyFont="1" applyFill="1" applyBorder="1"/>
    <xf numFmtId="0" fontId="6" fillId="0" borderId="0" xfId="0" applyFont="1"/>
    <xf numFmtId="0" fontId="7" fillId="0" borderId="0" xfId="0" applyFont="1"/>
    <xf numFmtId="2" fontId="1" fillId="0" borderId="7" xfId="0" applyNumberFormat="1" applyFont="1" applyBorder="1"/>
    <xf numFmtId="0" fontId="1" fillId="0" borderId="0" xfId="0" applyFont="1"/>
    <xf numFmtId="0" fontId="8" fillId="0" borderId="1" xfId="0" applyFont="1" applyBorder="1"/>
    <xf numFmtId="0" fontId="0" fillId="0" borderId="31" xfId="0" applyBorder="1"/>
    <xf numFmtId="2" fontId="1" fillId="0" borderId="28" xfId="0" applyNumberFormat="1" applyFont="1" applyBorder="1"/>
    <xf numFmtId="0" fontId="8" fillId="0" borderId="0" xfId="0" applyFont="1"/>
    <xf numFmtId="0" fontId="9" fillId="0" borderId="0" xfId="0" applyFont="1"/>
    <xf numFmtId="0" fontId="8" fillId="0" borderId="12" xfId="0" applyFont="1" applyBorder="1" applyAlignment="1">
      <alignment horizontal="right"/>
    </xf>
    <xf numFmtId="0" fontId="8" fillId="0" borderId="12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19" xfId="0" applyFont="1" applyBorder="1" applyAlignment="1">
      <alignment horizontal="right"/>
    </xf>
    <xf numFmtId="0" fontId="8" fillId="0" borderId="15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1" xfId="0" applyFont="1" applyBorder="1" applyAlignment="1">
      <alignment horizontal="right"/>
    </xf>
    <xf numFmtId="0" fontId="8" fillId="0" borderId="11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3" xfId="0" applyFont="1" applyBorder="1" applyAlignment="1">
      <alignment horizontal="right"/>
    </xf>
    <xf numFmtId="0" fontId="8" fillId="0" borderId="2" xfId="0" applyFont="1" applyBorder="1"/>
    <xf numFmtId="0" fontId="8" fillId="0" borderId="3" xfId="0" applyFont="1" applyBorder="1"/>
    <xf numFmtId="0" fontId="8" fillId="0" borderId="17" xfId="0" applyFont="1" applyBorder="1" applyAlignment="1">
      <alignment horizontal="right"/>
    </xf>
    <xf numFmtId="0" fontId="8" fillId="0" borderId="21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 applyAlignment="1">
      <alignment horizontal="right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2" fontId="8" fillId="0" borderId="1" xfId="0" applyNumberFormat="1" applyFont="1" applyBorder="1"/>
    <xf numFmtId="0" fontId="8" fillId="0" borderId="16" xfId="0" applyFont="1" applyBorder="1"/>
    <xf numFmtId="0" fontId="8" fillId="0" borderId="31" xfId="0" applyFont="1" applyBorder="1"/>
    <xf numFmtId="0" fontId="8" fillId="0" borderId="28" xfId="0" applyFont="1" applyBorder="1"/>
    <xf numFmtId="0" fontId="8" fillId="0" borderId="30" xfId="0" applyFont="1" applyBorder="1"/>
    <xf numFmtId="0" fontId="8" fillId="0" borderId="26" xfId="0" applyFont="1" applyBorder="1"/>
    <xf numFmtId="2" fontId="8" fillId="0" borderId="7" xfId="0" applyNumberFormat="1" applyFont="1" applyBorder="1"/>
    <xf numFmtId="0" fontId="8" fillId="0" borderId="27" xfId="0" applyFont="1" applyBorder="1"/>
    <xf numFmtId="2" fontId="8" fillId="0" borderId="5" xfId="0" applyNumberFormat="1" applyFont="1" applyBorder="1"/>
    <xf numFmtId="0" fontId="0" fillId="0" borderId="0" xfId="0" applyBorder="1"/>
    <xf numFmtId="2" fontId="8" fillId="0" borderId="28" xfId="0" applyNumberFormat="1" applyFont="1" applyBorder="1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9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25" xfId="0" applyFont="1" applyFill="1" applyBorder="1" applyAlignment="1">
      <alignment horizontal="left"/>
    </xf>
    <xf numFmtId="0" fontId="0" fillId="0" borderId="33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25" xfId="0" applyBorder="1" applyAlignment="1"/>
    <xf numFmtId="0" fontId="0" fillId="0" borderId="0" xfId="0" applyBorder="1" applyAlignment="1"/>
    <xf numFmtId="0" fontId="0" fillId="0" borderId="36" xfId="0" applyBorder="1" applyAlignment="1"/>
    <xf numFmtId="0" fontId="0" fillId="0" borderId="37" xfId="0" applyBorder="1" applyAlignment="1"/>
    <xf numFmtId="0" fontId="0" fillId="0" borderId="38" xfId="0" applyBorder="1" applyAlignment="1"/>
    <xf numFmtId="0" fontId="0" fillId="0" borderId="39" xfId="0" applyBorder="1" applyAlignment="1"/>
    <xf numFmtId="0" fontId="8" fillId="0" borderId="40" xfId="0" applyFont="1" applyBorder="1"/>
    <xf numFmtId="0" fontId="8" fillId="0" borderId="41" xfId="0" applyFont="1" applyBorder="1"/>
    <xf numFmtId="0" fontId="9" fillId="0" borderId="41" xfId="0" applyFont="1" applyBorder="1"/>
    <xf numFmtId="0" fontId="8" fillId="0" borderId="42" xfId="0" applyFont="1" applyBorder="1"/>
    <xf numFmtId="0" fontId="5" fillId="0" borderId="2" xfId="0" applyFont="1" applyBorder="1"/>
    <xf numFmtId="2" fontId="0" fillId="0" borderId="1" xfId="0" applyNumberFormat="1" applyBorder="1"/>
    <xf numFmtId="0" fontId="5" fillId="0" borderId="31" xfId="0" applyFont="1" applyBorder="1"/>
    <xf numFmtId="0" fontId="5" fillId="0" borderId="43" xfId="0" applyFont="1" applyFill="1" applyBorder="1"/>
    <xf numFmtId="0" fontId="0" fillId="0" borderId="28" xfId="0" applyBorder="1" applyAlignment="1"/>
    <xf numFmtId="0" fontId="0" fillId="0" borderId="44" xfId="0" applyBorder="1" applyAlignment="1"/>
    <xf numFmtId="0" fontId="0" fillId="0" borderId="5" xfId="0" applyBorder="1" applyAlignment="1"/>
    <xf numFmtId="0" fontId="0" fillId="0" borderId="6" xfId="0" applyBorder="1" applyAlignment="1"/>
    <xf numFmtId="2" fontId="0" fillId="0" borderId="5" xfId="0" applyNumberFormat="1" applyBorder="1"/>
    <xf numFmtId="0" fontId="8" fillId="0" borderId="45" xfId="0" applyFont="1" applyBorder="1"/>
    <xf numFmtId="0" fontId="1" fillId="0" borderId="40" xfId="0" applyFont="1" applyBorder="1"/>
    <xf numFmtId="0" fontId="1" fillId="0" borderId="41" xfId="0" applyFont="1" applyBorder="1"/>
    <xf numFmtId="0" fontId="10" fillId="0" borderId="41" xfId="0" applyFont="1" applyBorder="1"/>
    <xf numFmtId="0" fontId="1" fillId="0" borderId="42" xfId="0" applyFont="1" applyBorder="1"/>
    <xf numFmtId="0" fontId="1" fillId="0" borderId="12" xfId="0" applyFont="1" applyBorder="1" applyAlignment="1">
      <alignment horizontal="left"/>
    </xf>
    <xf numFmtId="0" fontId="1" fillId="0" borderId="12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3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13" xfId="0" applyFont="1" applyBorder="1" applyAlignment="1">
      <alignment horizontal="right"/>
    </xf>
    <xf numFmtId="0" fontId="1" fillId="0" borderId="15" xfId="0" applyFont="1" applyBorder="1"/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31" xfId="0" applyFont="1" applyBorder="1"/>
    <xf numFmtId="0" fontId="1" fillId="0" borderId="43" xfId="0" applyFont="1" applyFill="1" applyBorder="1"/>
    <xf numFmtId="0" fontId="1" fillId="0" borderId="16" xfId="0" applyFont="1" applyBorder="1"/>
    <xf numFmtId="0" fontId="1" fillId="0" borderId="28" xfId="0" applyFont="1" applyBorder="1"/>
    <xf numFmtId="0" fontId="1" fillId="0" borderId="26" xfId="0" applyFont="1" applyBorder="1"/>
    <xf numFmtId="0" fontId="1" fillId="0" borderId="30" xfId="0" applyFont="1" applyBorder="1"/>
    <xf numFmtId="0" fontId="1" fillId="0" borderId="8" xfId="0" applyFont="1" applyBorder="1"/>
    <xf numFmtId="0" fontId="1" fillId="0" borderId="45" xfId="0" applyFont="1" applyBorder="1"/>
    <xf numFmtId="0" fontId="1" fillId="0" borderId="28" xfId="0" applyFont="1" applyBorder="1" applyAlignment="1"/>
    <xf numFmtId="0" fontId="1" fillId="0" borderId="44" xfId="0" applyFont="1" applyBorder="1" applyAlignment="1"/>
    <xf numFmtId="0" fontId="1" fillId="0" borderId="4" xfId="0" applyFont="1" applyBorder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33" xfId="0" applyFont="1" applyBorder="1" applyAlignment="1"/>
    <xf numFmtId="0" fontId="1" fillId="0" borderId="34" xfId="0" applyFont="1" applyBorder="1" applyAlignment="1"/>
    <xf numFmtId="0" fontId="1" fillId="0" borderId="0" xfId="0" applyFont="1" applyBorder="1" applyAlignment="1"/>
    <xf numFmtId="0" fontId="1" fillId="0" borderId="36" xfId="0" applyFont="1" applyBorder="1" applyAlignment="1"/>
    <xf numFmtId="0" fontId="1" fillId="0" borderId="37" xfId="0" applyFont="1" applyBorder="1" applyAlignment="1"/>
    <xf numFmtId="0" fontId="1" fillId="0" borderId="38" xfId="0" applyFont="1" applyBorder="1" applyAlignment="1"/>
    <xf numFmtId="0" fontId="1" fillId="0" borderId="39" xfId="0" applyFont="1" applyBorder="1" applyAlignment="1"/>
    <xf numFmtId="0" fontId="7" fillId="0" borderId="3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customXml" Target="../customXml/item2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ED22-A501-4EF8-972B-200FA5021BBD}">
  <dimension ref="A1:B10"/>
  <sheetViews>
    <sheetView workbookViewId="0">
      <selection activeCell="F8" sqref="F8"/>
    </sheetView>
  </sheetViews>
  <sheetFormatPr defaultColWidth="8.8984375" defaultRowHeight="12.75" x14ac:dyDescent="0.15"/>
  <sheetData>
    <row r="1" spans="1:2" x14ac:dyDescent="0.15">
      <c r="A1" t="s">
        <v>109</v>
      </c>
    </row>
    <row r="3" spans="1:2" x14ac:dyDescent="0.15">
      <c r="A3">
        <v>2015</v>
      </c>
      <c r="B3" s="43">
        <v>1.4E-2</v>
      </c>
    </row>
    <row r="4" spans="1:2" x14ac:dyDescent="0.15">
      <c r="A4">
        <v>2016</v>
      </c>
      <c r="B4" s="43">
        <v>1.9E-2</v>
      </c>
    </row>
    <row r="5" spans="1:2" x14ac:dyDescent="0.15">
      <c r="A5">
        <v>2017</v>
      </c>
      <c r="B5" s="43">
        <v>1.4E-2</v>
      </c>
    </row>
    <row r="6" spans="1:2" x14ac:dyDescent="0.15">
      <c r="A6">
        <v>2018</v>
      </c>
      <c r="B6" s="43">
        <v>1.9E-2</v>
      </c>
    </row>
    <row r="7" spans="1:2" x14ac:dyDescent="0.15">
      <c r="A7">
        <v>2019</v>
      </c>
      <c r="B7" s="43">
        <v>1.7999999999999999E-2</v>
      </c>
    </row>
    <row r="8" spans="1:2" x14ac:dyDescent="0.15">
      <c r="A8">
        <v>2020</v>
      </c>
      <c r="B8" s="43">
        <v>2.1000000000000001E-2</v>
      </c>
    </row>
    <row r="9" spans="1:2" x14ac:dyDescent="0.15">
      <c r="A9">
        <v>2021</v>
      </c>
      <c r="B9" s="43">
        <v>2.1000000000000001E-2</v>
      </c>
    </row>
    <row r="10" spans="1:2" x14ac:dyDescent="0.15">
      <c r="A10">
        <v>2022</v>
      </c>
      <c r="B10" s="43">
        <v>2.1000000000000001E-2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2D60-D73B-439C-9C92-0619CEBB60C8}">
  <dimension ref="A1"/>
  <sheetViews>
    <sheetView workbookViewId="0"/>
  </sheetViews>
  <sheetFormatPr defaultColWidth="8.8984375" defaultRowHeight="12.7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94E2-BAB7-4231-8C0B-C2C438AB6B6A}">
  <dimension ref="A1:I60"/>
  <sheetViews>
    <sheetView topLeftCell="A4" zoomScale="130" zoomScaleNormal="130" workbookViewId="0">
      <selection activeCell="G21" sqref="G21"/>
    </sheetView>
  </sheetViews>
  <sheetFormatPr defaultColWidth="8.8984375" defaultRowHeight="12.75" x14ac:dyDescent="0.15"/>
  <cols>
    <col min="1" max="1" width="18.47265625" bestFit="1" customWidth="1"/>
    <col min="2" max="2" width="5.390625" bestFit="1" customWidth="1"/>
    <col min="3" max="3" width="8.8984375" customWidth="1"/>
    <col min="4" max="4" width="15.37109375" customWidth="1"/>
    <col min="5" max="5" width="16.44921875" bestFit="1" customWidth="1"/>
    <col min="6" max="6" width="5.66015625" bestFit="1" customWidth="1"/>
    <col min="7" max="7" width="11.32421875" customWidth="1"/>
    <col min="8" max="8" width="17.93359375" customWidth="1"/>
  </cols>
  <sheetData>
    <row r="1" spans="1:8" ht="21" thickBot="1" x14ac:dyDescent="0.3">
      <c r="D1" s="12"/>
      <c r="E1" s="13" t="s">
        <v>95</v>
      </c>
    </row>
    <row r="2" spans="1:8" x14ac:dyDescent="0.15">
      <c r="A2" s="17" t="s">
        <v>0</v>
      </c>
      <c r="B2" s="25"/>
      <c r="C2" s="26"/>
      <c r="D2" s="27"/>
      <c r="E2" s="31" t="s">
        <v>76</v>
      </c>
      <c r="F2" s="21"/>
      <c r="G2" s="9"/>
      <c r="H2" s="11"/>
    </row>
    <row r="3" spans="1:8" x14ac:dyDescent="0.15">
      <c r="A3" s="16" t="s">
        <v>1</v>
      </c>
      <c r="B3" s="18"/>
      <c r="C3" s="19"/>
      <c r="D3" s="20"/>
      <c r="E3" s="32" t="s">
        <v>77</v>
      </c>
      <c r="F3" s="3"/>
      <c r="G3" s="1"/>
      <c r="H3" s="4"/>
    </row>
    <row r="4" spans="1:8" x14ac:dyDescent="0.15">
      <c r="A4" s="16" t="s">
        <v>2</v>
      </c>
      <c r="B4" s="18"/>
      <c r="C4" s="19"/>
      <c r="D4" s="20"/>
      <c r="E4" s="32" t="s">
        <v>78</v>
      </c>
      <c r="F4" s="3"/>
      <c r="G4" s="1"/>
      <c r="H4" s="4"/>
    </row>
    <row r="5" spans="1:8" ht="13.5" thickBot="1" x14ac:dyDescent="0.2">
      <c r="A5" s="23" t="s">
        <v>3</v>
      </c>
      <c r="B5" s="28"/>
      <c r="C5" s="29"/>
      <c r="D5" s="30"/>
      <c r="E5" s="33" t="s">
        <v>79</v>
      </c>
      <c r="F5" s="5"/>
      <c r="G5" s="6"/>
      <c r="H5" s="7"/>
    </row>
    <row r="6" spans="1:8" x14ac:dyDescent="0.15">
      <c r="A6" s="21"/>
      <c r="B6" s="14" t="s">
        <v>73</v>
      </c>
      <c r="C6" s="14" t="s">
        <v>74</v>
      </c>
      <c r="D6" s="14" t="s">
        <v>75</v>
      </c>
      <c r="E6" s="9"/>
      <c r="F6" s="14" t="s">
        <v>73</v>
      </c>
      <c r="G6" s="14" t="s">
        <v>74</v>
      </c>
      <c r="H6" s="15" t="s">
        <v>75</v>
      </c>
    </row>
    <row r="7" spans="1:8" x14ac:dyDescent="0.15">
      <c r="A7" s="3" t="s">
        <v>4</v>
      </c>
      <c r="B7" s="2">
        <v>2.06</v>
      </c>
      <c r="C7" s="1"/>
      <c r="D7" s="1"/>
      <c r="E7" s="1" t="s">
        <v>47</v>
      </c>
      <c r="F7" s="44">
        <v>3.52</v>
      </c>
      <c r="G7" s="1"/>
      <c r="H7" s="4"/>
    </row>
    <row r="8" spans="1:8" x14ac:dyDescent="0.15">
      <c r="A8" s="3" t="s">
        <v>5</v>
      </c>
      <c r="B8" s="2">
        <v>2.06</v>
      </c>
      <c r="C8" s="1"/>
      <c r="D8" s="1"/>
      <c r="E8" s="1" t="s">
        <v>99</v>
      </c>
      <c r="F8" s="44">
        <v>13.2</v>
      </c>
      <c r="G8" s="1"/>
      <c r="H8" s="4"/>
    </row>
    <row r="9" spans="1:8" x14ac:dyDescent="0.15">
      <c r="A9" s="3" t="s">
        <v>54</v>
      </c>
      <c r="B9" s="2">
        <v>3.41</v>
      </c>
      <c r="C9" s="1"/>
      <c r="D9" s="1"/>
      <c r="E9" s="1" t="s">
        <v>45</v>
      </c>
      <c r="F9" s="44">
        <v>3.08</v>
      </c>
      <c r="G9" s="1"/>
      <c r="H9" s="4"/>
    </row>
    <row r="10" spans="1:8" x14ac:dyDescent="0.15">
      <c r="A10" s="3" t="s">
        <v>107</v>
      </c>
      <c r="B10" s="2">
        <v>1.37</v>
      </c>
      <c r="C10" s="1"/>
      <c r="D10" s="1"/>
      <c r="E10" s="1" t="s">
        <v>46</v>
      </c>
      <c r="F10" s="2">
        <v>11.69</v>
      </c>
      <c r="G10" s="1"/>
      <c r="H10" s="4"/>
    </row>
    <row r="11" spans="1:8" x14ac:dyDescent="0.15">
      <c r="A11" s="3" t="s">
        <v>6</v>
      </c>
      <c r="B11" s="2">
        <v>14.35</v>
      </c>
      <c r="C11" s="1"/>
      <c r="D11" s="1"/>
      <c r="E11" s="1" t="s">
        <v>96</v>
      </c>
      <c r="F11" s="10">
        <v>3.96</v>
      </c>
      <c r="G11" s="1"/>
      <c r="H11" s="4"/>
    </row>
    <row r="12" spans="1:8" x14ac:dyDescent="0.15">
      <c r="A12" s="3" t="s">
        <v>7</v>
      </c>
      <c r="B12" s="2">
        <v>14.35</v>
      </c>
      <c r="C12" s="1"/>
      <c r="D12" s="1"/>
      <c r="E12" s="1" t="s">
        <v>48</v>
      </c>
      <c r="F12" s="2">
        <v>10.31</v>
      </c>
      <c r="G12" s="1"/>
      <c r="H12" s="4"/>
    </row>
    <row r="13" spans="1:8" x14ac:dyDescent="0.15">
      <c r="A13" s="3" t="s">
        <v>8</v>
      </c>
      <c r="B13" s="2">
        <v>14.35</v>
      </c>
      <c r="C13" s="1"/>
      <c r="D13" s="1"/>
      <c r="E13" s="1" t="s">
        <v>94</v>
      </c>
      <c r="F13" s="2">
        <v>3.08</v>
      </c>
      <c r="G13" s="1"/>
      <c r="H13" s="4"/>
    </row>
    <row r="14" spans="1:8" x14ac:dyDescent="0.15">
      <c r="A14" s="3" t="s">
        <v>9</v>
      </c>
      <c r="B14" s="2">
        <v>14.35</v>
      </c>
      <c r="C14" s="1"/>
      <c r="D14" s="1"/>
      <c r="E14" s="1" t="s">
        <v>49</v>
      </c>
      <c r="F14" s="2">
        <v>3.08</v>
      </c>
      <c r="G14" s="1"/>
      <c r="H14" s="4"/>
    </row>
    <row r="15" spans="1:8" x14ac:dyDescent="0.15">
      <c r="A15" s="3" t="s">
        <v>10</v>
      </c>
      <c r="B15" s="2">
        <v>14.35</v>
      </c>
      <c r="C15" s="1"/>
      <c r="D15" s="1"/>
      <c r="E15" s="1" t="s">
        <v>50</v>
      </c>
      <c r="F15" s="2">
        <v>3.08</v>
      </c>
      <c r="G15" s="1"/>
      <c r="H15" s="4"/>
    </row>
    <row r="16" spans="1:8" x14ac:dyDescent="0.15">
      <c r="A16" s="22" t="s">
        <v>103</v>
      </c>
      <c r="B16" s="24">
        <v>2.12</v>
      </c>
      <c r="C16" s="1"/>
      <c r="D16" s="1"/>
      <c r="E16" s="1" t="s">
        <v>51</v>
      </c>
      <c r="F16" s="2">
        <v>3.08</v>
      </c>
      <c r="G16" s="1"/>
      <c r="H16" s="4"/>
    </row>
    <row r="17" spans="1:8" x14ac:dyDescent="0.15">
      <c r="A17" s="3" t="s">
        <v>11</v>
      </c>
      <c r="B17" s="44">
        <v>4.91</v>
      </c>
      <c r="C17" s="1"/>
      <c r="D17" s="1"/>
      <c r="E17" s="1" t="s">
        <v>52</v>
      </c>
      <c r="F17" s="2">
        <v>3.08</v>
      </c>
      <c r="G17" s="1"/>
      <c r="H17" s="4"/>
    </row>
    <row r="18" spans="1:8" x14ac:dyDescent="0.15">
      <c r="A18" s="3" t="s">
        <v>12</v>
      </c>
      <c r="B18" s="44">
        <v>4.91</v>
      </c>
      <c r="C18" s="1"/>
      <c r="D18" s="1"/>
      <c r="E18" s="1" t="s">
        <v>53</v>
      </c>
      <c r="F18" s="2">
        <v>3.08</v>
      </c>
      <c r="G18" s="1"/>
      <c r="H18" s="4"/>
    </row>
    <row r="19" spans="1:8" x14ac:dyDescent="0.15">
      <c r="A19" s="3" t="s">
        <v>13</v>
      </c>
      <c r="B19" s="44">
        <v>4.91</v>
      </c>
      <c r="C19" s="1"/>
      <c r="D19" s="1"/>
      <c r="E19" s="1" t="s">
        <v>85</v>
      </c>
      <c r="F19" s="2">
        <v>4.25</v>
      </c>
      <c r="G19" s="1"/>
      <c r="H19" s="4"/>
    </row>
    <row r="20" spans="1:8" x14ac:dyDescent="0.15">
      <c r="A20" s="3" t="s">
        <v>14</v>
      </c>
      <c r="B20" s="44">
        <v>4.91</v>
      </c>
      <c r="C20" s="1"/>
      <c r="D20" s="1"/>
      <c r="E20" s="1" t="s">
        <v>86</v>
      </c>
      <c r="F20" s="2">
        <f>F19*2</f>
        <v>8.5</v>
      </c>
      <c r="G20" s="1"/>
      <c r="H20" s="4"/>
    </row>
    <row r="21" spans="1:8" x14ac:dyDescent="0.15">
      <c r="A21" s="3" t="s">
        <v>15</v>
      </c>
      <c r="B21" s="44">
        <v>4.91</v>
      </c>
      <c r="C21" s="1"/>
      <c r="D21" s="1"/>
      <c r="E21" s="1" t="s">
        <v>89</v>
      </c>
      <c r="F21" s="2">
        <f>F19*3</f>
        <v>12.75</v>
      </c>
      <c r="G21" s="1"/>
      <c r="H21" s="4"/>
    </row>
    <row r="22" spans="1:8" x14ac:dyDescent="0.15">
      <c r="A22" s="3" t="s">
        <v>16</v>
      </c>
      <c r="B22" s="44">
        <v>4.91</v>
      </c>
      <c r="C22" s="1"/>
      <c r="D22" s="1"/>
      <c r="E22" s="1" t="s">
        <v>87</v>
      </c>
      <c r="F22" s="2">
        <f>F19*4</f>
        <v>17</v>
      </c>
      <c r="G22" s="1"/>
      <c r="H22" s="4"/>
    </row>
    <row r="23" spans="1:8" x14ac:dyDescent="0.15">
      <c r="A23" s="3" t="s">
        <v>17</v>
      </c>
      <c r="B23" s="2">
        <v>3.69</v>
      </c>
      <c r="C23" s="1"/>
      <c r="D23" s="1"/>
      <c r="E23" s="1" t="s">
        <v>90</v>
      </c>
      <c r="F23" s="10">
        <f>F19*5</f>
        <v>21.25</v>
      </c>
      <c r="G23" s="1"/>
      <c r="H23" s="4"/>
    </row>
    <row r="24" spans="1:8" x14ac:dyDescent="0.15">
      <c r="A24" s="3" t="s">
        <v>18</v>
      </c>
      <c r="B24" s="2">
        <v>3.69</v>
      </c>
      <c r="C24" s="1"/>
      <c r="D24" s="1"/>
      <c r="E24" s="1" t="s">
        <v>88</v>
      </c>
      <c r="F24" s="2">
        <f>F19*6</f>
        <v>25.5</v>
      </c>
      <c r="G24" s="1"/>
      <c r="H24" s="4"/>
    </row>
    <row r="25" spans="1:8" x14ac:dyDescent="0.15">
      <c r="A25" s="3" t="s">
        <v>19</v>
      </c>
      <c r="B25" s="2">
        <v>3.69</v>
      </c>
      <c r="C25" s="1"/>
      <c r="D25" s="1"/>
      <c r="E25" s="1" t="s">
        <v>102</v>
      </c>
      <c r="F25" s="10">
        <v>11.66</v>
      </c>
      <c r="G25" s="1"/>
      <c r="H25" s="4"/>
    </row>
    <row r="26" spans="1:8" x14ac:dyDescent="0.15">
      <c r="A26" s="3" t="s">
        <v>20</v>
      </c>
      <c r="B26" s="2">
        <v>3.69</v>
      </c>
      <c r="C26" s="1"/>
      <c r="D26" s="1"/>
      <c r="E26" s="1" t="s">
        <v>106</v>
      </c>
      <c r="F26" s="2">
        <v>7.98</v>
      </c>
      <c r="G26" s="1"/>
      <c r="H26" s="4"/>
    </row>
    <row r="27" spans="1:8" x14ac:dyDescent="0.15">
      <c r="A27" s="3" t="s">
        <v>21</v>
      </c>
      <c r="B27" s="2">
        <v>7.78</v>
      </c>
      <c r="C27" s="1"/>
      <c r="D27" s="1"/>
      <c r="E27" s="1" t="s">
        <v>44</v>
      </c>
      <c r="F27" s="2">
        <v>0</v>
      </c>
      <c r="G27" s="1"/>
      <c r="H27" s="4"/>
    </row>
    <row r="28" spans="1:8" x14ac:dyDescent="0.15">
      <c r="A28" s="3" t="s">
        <v>22</v>
      </c>
      <c r="B28" s="2">
        <v>7.78</v>
      </c>
      <c r="C28" s="1"/>
      <c r="D28" s="1"/>
      <c r="E28" s="1" t="s">
        <v>110</v>
      </c>
      <c r="F28" s="8">
        <v>3.19</v>
      </c>
      <c r="G28" s="1"/>
      <c r="H28" s="4"/>
    </row>
    <row r="29" spans="1:8" x14ac:dyDescent="0.15">
      <c r="A29" s="3" t="s">
        <v>104</v>
      </c>
      <c r="B29" s="45">
        <v>4.91</v>
      </c>
      <c r="C29" s="1"/>
      <c r="D29" s="1"/>
      <c r="E29" s="1" t="s">
        <v>82</v>
      </c>
      <c r="F29" s="2">
        <v>39.6</v>
      </c>
      <c r="G29" s="1"/>
      <c r="H29" s="4"/>
    </row>
    <row r="30" spans="1:8" x14ac:dyDescent="0.15">
      <c r="A30" s="3" t="s">
        <v>105</v>
      </c>
      <c r="B30" s="45">
        <v>3.68</v>
      </c>
      <c r="C30" s="1"/>
      <c r="D30" s="1"/>
      <c r="E30" s="1" t="s">
        <v>83</v>
      </c>
      <c r="F30" s="44">
        <v>9.9</v>
      </c>
      <c r="G30" s="1"/>
      <c r="H30" s="4"/>
    </row>
    <row r="31" spans="1:8" x14ac:dyDescent="0.15">
      <c r="A31" s="3" t="s">
        <v>23</v>
      </c>
      <c r="B31" s="2">
        <v>3.49</v>
      </c>
      <c r="C31" s="1"/>
      <c r="D31" s="1"/>
      <c r="E31" s="1" t="s">
        <v>55</v>
      </c>
      <c r="F31" s="44">
        <v>19.48</v>
      </c>
      <c r="G31" s="1"/>
      <c r="H31" s="4"/>
    </row>
    <row r="32" spans="1:8" x14ac:dyDescent="0.15">
      <c r="A32" s="3" t="s">
        <v>24</v>
      </c>
      <c r="B32" s="2">
        <v>3.49</v>
      </c>
      <c r="C32" s="1"/>
      <c r="D32" s="1"/>
      <c r="E32" s="1" t="s">
        <v>56</v>
      </c>
      <c r="F32" s="44">
        <v>2.65</v>
      </c>
      <c r="G32" s="1"/>
      <c r="H32" s="4"/>
    </row>
    <row r="33" spans="1:9" x14ac:dyDescent="0.15">
      <c r="A33" s="3" t="s">
        <v>64</v>
      </c>
      <c r="B33" s="44">
        <v>2.2200000000000002</v>
      </c>
      <c r="C33" s="1"/>
      <c r="D33" s="1"/>
      <c r="E33" s="1" t="s">
        <v>57</v>
      </c>
      <c r="F33" s="44">
        <v>7.33</v>
      </c>
      <c r="G33" s="1"/>
      <c r="H33" s="4"/>
    </row>
    <row r="34" spans="1:9" x14ac:dyDescent="0.15">
      <c r="A34" s="3" t="s">
        <v>25</v>
      </c>
      <c r="B34" s="2">
        <v>5.61</v>
      </c>
      <c r="C34" s="1"/>
      <c r="D34" s="1"/>
      <c r="E34" s="1" t="s">
        <v>58</v>
      </c>
      <c r="F34" s="44">
        <v>7.33</v>
      </c>
      <c r="G34" s="1"/>
      <c r="H34" s="4"/>
    </row>
    <row r="35" spans="1:9" x14ac:dyDescent="0.15">
      <c r="A35" s="3" t="s">
        <v>26</v>
      </c>
      <c r="B35" s="2">
        <v>5.61</v>
      </c>
      <c r="C35" s="1"/>
      <c r="D35" s="1"/>
      <c r="E35" s="1" t="s">
        <v>59</v>
      </c>
      <c r="F35" s="44">
        <v>34.6</v>
      </c>
      <c r="G35" s="1"/>
      <c r="H35" s="4"/>
    </row>
    <row r="36" spans="1:9" x14ac:dyDescent="0.15">
      <c r="A36" s="3" t="s">
        <v>27</v>
      </c>
      <c r="B36" s="2">
        <v>2.4</v>
      </c>
      <c r="C36" s="1"/>
      <c r="D36" s="1"/>
      <c r="E36" s="1" t="s">
        <v>60</v>
      </c>
      <c r="F36" s="44">
        <v>30.08</v>
      </c>
      <c r="G36" s="1"/>
      <c r="H36" s="4"/>
    </row>
    <row r="37" spans="1:9" x14ac:dyDescent="0.15">
      <c r="A37" s="3" t="s">
        <v>28</v>
      </c>
      <c r="B37" s="2">
        <v>2.4</v>
      </c>
      <c r="C37" s="1"/>
      <c r="D37" s="1"/>
      <c r="E37" s="1" t="s">
        <v>61</v>
      </c>
      <c r="F37" s="44">
        <v>30.08</v>
      </c>
      <c r="G37" s="1"/>
      <c r="H37" s="4"/>
    </row>
    <row r="38" spans="1:9" x14ac:dyDescent="0.15">
      <c r="A38" s="3" t="s">
        <v>29</v>
      </c>
      <c r="B38" s="2">
        <v>2.4</v>
      </c>
      <c r="C38" s="1"/>
      <c r="D38" s="1"/>
      <c r="E38" s="1"/>
      <c r="F38" s="2"/>
      <c r="G38" s="1"/>
      <c r="H38" s="4"/>
    </row>
    <row r="39" spans="1:9" x14ac:dyDescent="0.15">
      <c r="A39" s="3" t="s">
        <v>30</v>
      </c>
      <c r="B39" s="2">
        <v>2.4</v>
      </c>
      <c r="C39" s="1"/>
      <c r="D39" s="1"/>
      <c r="E39" s="1" t="s">
        <v>63</v>
      </c>
      <c r="F39" s="2">
        <v>2.2000000000000002</v>
      </c>
      <c r="G39" s="1"/>
      <c r="H39" s="4"/>
    </row>
    <row r="40" spans="1:9" x14ac:dyDescent="0.15">
      <c r="A40" s="3" t="s">
        <v>31</v>
      </c>
      <c r="B40" s="2">
        <v>2.4</v>
      </c>
      <c r="C40" s="1"/>
      <c r="D40" s="1"/>
      <c r="E40" s="1" t="s">
        <v>62</v>
      </c>
      <c r="F40" s="2">
        <v>5.28</v>
      </c>
      <c r="G40" s="1"/>
      <c r="H40" s="4"/>
    </row>
    <row r="41" spans="1:9" x14ac:dyDescent="0.15">
      <c r="A41" s="3" t="s">
        <v>32</v>
      </c>
      <c r="B41" s="2">
        <v>2.4</v>
      </c>
      <c r="C41" s="1"/>
      <c r="D41" s="1"/>
      <c r="E41" s="1"/>
      <c r="F41" s="2"/>
      <c r="G41" s="1"/>
      <c r="H41" s="4"/>
    </row>
    <row r="42" spans="1:9" x14ac:dyDescent="0.15">
      <c r="A42" s="3" t="s">
        <v>98</v>
      </c>
      <c r="B42" s="2">
        <v>4.8</v>
      </c>
      <c r="C42" s="1"/>
      <c r="D42" s="1"/>
      <c r="E42" s="1"/>
      <c r="F42" s="10"/>
      <c r="G42" s="1"/>
      <c r="H42" s="4"/>
    </row>
    <row r="43" spans="1:9" x14ac:dyDescent="0.15">
      <c r="A43" s="3" t="s">
        <v>91</v>
      </c>
      <c r="B43" s="44">
        <v>14.34</v>
      </c>
      <c r="C43" s="1"/>
      <c r="D43" s="1"/>
      <c r="E43" s="1"/>
      <c r="F43" s="2"/>
      <c r="G43" s="1"/>
      <c r="H43" s="4"/>
    </row>
    <row r="44" spans="1:9" x14ac:dyDescent="0.15">
      <c r="A44" s="3" t="s">
        <v>92</v>
      </c>
      <c r="B44" s="44">
        <v>14.34</v>
      </c>
      <c r="C44" s="1"/>
      <c r="D44" s="1"/>
      <c r="E44" s="1"/>
      <c r="F44" s="2"/>
      <c r="G44" s="1"/>
      <c r="H44" s="4"/>
    </row>
    <row r="45" spans="1:9" x14ac:dyDescent="0.15">
      <c r="A45" s="3" t="s">
        <v>93</v>
      </c>
      <c r="B45" s="44">
        <v>6.21</v>
      </c>
      <c r="C45" s="1"/>
      <c r="D45" s="1"/>
      <c r="E45" s="1" t="s">
        <v>108</v>
      </c>
      <c r="F45" s="44">
        <v>5.29</v>
      </c>
      <c r="G45" s="1"/>
      <c r="H45" s="4"/>
      <c r="I45" s="34"/>
    </row>
    <row r="46" spans="1:9" x14ac:dyDescent="0.15">
      <c r="A46" s="3" t="s">
        <v>33</v>
      </c>
      <c r="B46" s="2">
        <v>14.88</v>
      </c>
      <c r="C46" s="1"/>
      <c r="D46" s="1"/>
      <c r="E46" s="1" t="s">
        <v>65</v>
      </c>
      <c r="F46" s="44">
        <v>6.33</v>
      </c>
      <c r="G46" s="1"/>
      <c r="H46" s="4"/>
    </row>
    <row r="47" spans="1:9" x14ac:dyDescent="0.15">
      <c r="A47" s="3" t="s">
        <v>34</v>
      </c>
      <c r="B47" s="2">
        <v>11.69</v>
      </c>
      <c r="C47" s="1"/>
      <c r="D47" s="1"/>
      <c r="E47" s="1" t="s">
        <v>66</v>
      </c>
      <c r="F47" s="44">
        <v>3.81</v>
      </c>
      <c r="G47" s="1"/>
      <c r="H47" s="4"/>
    </row>
    <row r="48" spans="1:9" x14ac:dyDescent="0.15">
      <c r="A48" s="3" t="s">
        <v>35</v>
      </c>
      <c r="B48" s="2">
        <v>8.5</v>
      </c>
      <c r="C48" s="1"/>
      <c r="D48" s="1"/>
      <c r="E48" s="1" t="s">
        <v>84</v>
      </c>
      <c r="F48" s="44">
        <v>9.36</v>
      </c>
      <c r="G48" s="1"/>
      <c r="H48" s="4"/>
    </row>
    <row r="49" spans="1:8" ht="13.5" thickBot="1" x14ac:dyDescent="0.2">
      <c r="A49" s="3" t="s">
        <v>97</v>
      </c>
      <c r="B49" s="2">
        <v>6.33</v>
      </c>
      <c r="C49" s="1"/>
      <c r="D49" s="1"/>
      <c r="E49" s="37"/>
      <c r="F49" s="38"/>
      <c r="G49" s="37"/>
      <c r="H49" s="39"/>
    </row>
    <row r="50" spans="1:8" x14ac:dyDescent="0.15">
      <c r="A50" s="3" t="s">
        <v>81</v>
      </c>
      <c r="B50" s="2">
        <v>7.92</v>
      </c>
      <c r="C50" s="1"/>
      <c r="D50" s="35"/>
      <c r="E50" s="21" t="s">
        <v>101</v>
      </c>
      <c r="F50" s="9"/>
      <c r="G50" s="9"/>
      <c r="H50" s="11"/>
    </row>
    <row r="51" spans="1:8" x14ac:dyDescent="0.15">
      <c r="A51" s="3" t="s">
        <v>36</v>
      </c>
      <c r="B51" s="2">
        <v>4.8499999999999996</v>
      </c>
      <c r="C51" s="1"/>
      <c r="D51" s="35"/>
      <c r="E51" s="3" t="s">
        <v>67</v>
      </c>
      <c r="F51" s="2"/>
      <c r="G51" s="1"/>
      <c r="H51" s="4"/>
    </row>
    <row r="52" spans="1:8" x14ac:dyDescent="0.15">
      <c r="A52" s="3" t="s">
        <v>37</v>
      </c>
      <c r="B52" s="2">
        <v>4.8499999999999996</v>
      </c>
      <c r="C52" s="1"/>
      <c r="D52" s="35"/>
      <c r="E52" s="3" t="s">
        <v>68</v>
      </c>
      <c r="F52" s="2">
        <v>2.66</v>
      </c>
      <c r="G52" s="1"/>
      <c r="H52" s="4"/>
    </row>
    <row r="53" spans="1:8" x14ac:dyDescent="0.15">
      <c r="A53" s="3" t="s">
        <v>38</v>
      </c>
      <c r="B53" s="2">
        <v>4.8499999999999996</v>
      </c>
      <c r="C53" s="1"/>
      <c r="D53" s="35"/>
      <c r="E53" s="3" t="s">
        <v>80</v>
      </c>
      <c r="F53" s="1"/>
      <c r="G53" s="1"/>
      <c r="H53" s="4"/>
    </row>
    <row r="54" spans="1:8" x14ac:dyDescent="0.15">
      <c r="A54" s="3" t="s">
        <v>39</v>
      </c>
      <c r="B54" s="2">
        <v>4.8499999999999996</v>
      </c>
      <c r="C54" s="1"/>
      <c r="D54" s="35"/>
      <c r="E54" s="3"/>
      <c r="F54" s="8"/>
      <c r="G54" s="1"/>
      <c r="H54" s="4"/>
    </row>
    <row r="55" spans="1:8" x14ac:dyDescent="0.15">
      <c r="A55" s="3" t="s">
        <v>40</v>
      </c>
      <c r="B55" s="2">
        <v>4.8499999999999996</v>
      </c>
      <c r="C55" s="1"/>
      <c r="D55" s="35"/>
      <c r="E55" s="3" t="s">
        <v>69</v>
      </c>
      <c r="F55" s="2">
        <v>55.26</v>
      </c>
      <c r="G55" s="1"/>
      <c r="H55" s="4"/>
    </row>
    <row r="56" spans="1:8" x14ac:dyDescent="0.15">
      <c r="A56" s="3" t="s">
        <v>41</v>
      </c>
      <c r="B56" s="2">
        <v>21.6</v>
      </c>
      <c r="C56" s="1"/>
      <c r="D56" s="35"/>
      <c r="E56" s="3" t="s">
        <v>70</v>
      </c>
      <c r="F56" s="2">
        <v>1.63</v>
      </c>
      <c r="G56" s="1"/>
      <c r="H56" s="4"/>
    </row>
    <row r="57" spans="1:8" x14ac:dyDescent="0.15">
      <c r="A57" s="3" t="s">
        <v>42</v>
      </c>
      <c r="B57" s="2">
        <v>21.6</v>
      </c>
      <c r="C57" s="1"/>
      <c r="D57" s="35"/>
      <c r="E57" s="3" t="s">
        <v>71</v>
      </c>
      <c r="F57" s="2"/>
      <c r="G57" s="1"/>
      <c r="H57" s="4"/>
    </row>
    <row r="58" spans="1:8" x14ac:dyDescent="0.15">
      <c r="A58" s="3" t="s">
        <v>100</v>
      </c>
      <c r="B58" s="2">
        <v>21.6</v>
      </c>
      <c r="C58" s="1"/>
      <c r="D58" s="35"/>
      <c r="E58" s="3" t="s">
        <v>72</v>
      </c>
      <c r="F58" s="2"/>
      <c r="G58" s="1"/>
      <c r="H58" s="4"/>
    </row>
    <row r="59" spans="1:8" ht="13.5" thickBot="1" x14ac:dyDescent="0.2">
      <c r="A59" s="5" t="s">
        <v>43</v>
      </c>
      <c r="B59" s="42">
        <v>21.6</v>
      </c>
      <c r="C59" s="6"/>
      <c r="D59" s="36"/>
      <c r="E59" s="5"/>
      <c r="F59" s="6"/>
      <c r="G59" s="6"/>
      <c r="H59" s="7"/>
    </row>
    <row r="60" spans="1:8" x14ac:dyDescent="0.15">
      <c r="B60" s="40"/>
    </row>
  </sheetData>
  <phoneticPr fontId="2" type="noConversion"/>
  <pageMargins left="0.19685039370078741" right="0.19685039370078741" top="0.59055118110236227" bottom="0.59055118110236227" header="0.31496062992125984" footer="0.31496062992125984"/>
  <pageSetup paperSize="9" orientation="portrait" horizontalDpi="4294967293"/>
  <headerFooter alignWithMargins="0">
    <oddHeader>&amp;C&amp;"Arial,fed\&amp;18BOSTA</oddHeader>
    <oddFooter>&amp;L&amp;F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7731-B40C-4E95-A947-0A358FD27E18}">
  <dimension ref="A1:H59"/>
  <sheetViews>
    <sheetView workbookViewId="0">
      <selection activeCell="F7" sqref="F7"/>
    </sheetView>
  </sheetViews>
  <sheetFormatPr defaultColWidth="8.8984375" defaultRowHeight="12.75" x14ac:dyDescent="0.15"/>
  <cols>
    <col min="1" max="1" width="19.1484375" customWidth="1"/>
    <col min="2" max="4" width="8.8984375" customWidth="1"/>
    <col min="5" max="5" width="17.39453125" customWidth="1"/>
  </cols>
  <sheetData>
    <row r="1" spans="1:8" ht="21" thickBot="1" x14ac:dyDescent="0.3">
      <c r="D1" s="12"/>
      <c r="E1" s="13" t="s">
        <v>95</v>
      </c>
    </row>
    <row r="2" spans="1:8" x14ac:dyDescent="0.15">
      <c r="A2" s="17" t="s">
        <v>0</v>
      </c>
      <c r="B2" s="25"/>
      <c r="C2" s="26"/>
      <c r="D2" s="27"/>
      <c r="E2" s="31" t="s">
        <v>76</v>
      </c>
      <c r="F2" s="21"/>
      <c r="G2" s="9"/>
      <c r="H2" s="11"/>
    </row>
    <row r="3" spans="1:8" x14ac:dyDescent="0.15">
      <c r="A3" s="16" t="s">
        <v>1</v>
      </c>
      <c r="B3" s="18"/>
      <c r="C3" s="19"/>
      <c r="D3" s="20"/>
      <c r="E3" s="32" t="s">
        <v>77</v>
      </c>
      <c r="F3" s="3"/>
      <c r="G3" s="1"/>
      <c r="H3" s="4"/>
    </row>
    <row r="4" spans="1:8" x14ac:dyDescent="0.15">
      <c r="A4" s="16" t="s">
        <v>2</v>
      </c>
      <c r="B4" s="18"/>
      <c r="C4" s="19"/>
      <c r="D4" s="20"/>
      <c r="E4" s="32" t="s">
        <v>78</v>
      </c>
      <c r="F4" s="3"/>
      <c r="G4" s="1"/>
      <c r="H4" s="4"/>
    </row>
    <row r="5" spans="1:8" ht="13.5" thickBot="1" x14ac:dyDescent="0.2">
      <c r="A5" s="23" t="s">
        <v>3</v>
      </c>
      <c r="B5" s="28"/>
      <c r="C5" s="29"/>
      <c r="D5" s="30"/>
      <c r="E5" s="33" t="s">
        <v>79</v>
      </c>
      <c r="F5" s="5"/>
      <c r="G5" s="6"/>
      <c r="H5" s="7"/>
    </row>
    <row r="6" spans="1:8" x14ac:dyDescent="0.15">
      <c r="A6" s="21"/>
      <c r="B6" s="14" t="s">
        <v>73</v>
      </c>
      <c r="C6" s="14" t="s">
        <v>74</v>
      </c>
      <c r="D6" s="14" t="s">
        <v>75</v>
      </c>
      <c r="E6" s="9"/>
      <c r="F6" s="14" t="s">
        <v>73</v>
      </c>
      <c r="G6" s="14" t="s">
        <v>74</v>
      </c>
      <c r="H6" s="15" t="s">
        <v>75</v>
      </c>
    </row>
    <row r="7" spans="1:8" x14ac:dyDescent="0.15">
      <c r="A7" s="3" t="s">
        <v>4</v>
      </c>
      <c r="B7" s="2">
        <f>('2014'!B7*Faktor!$B$3)+'2014'!B7</f>
        <v>2.0888400000000003</v>
      </c>
      <c r="C7" s="1"/>
      <c r="D7" s="1"/>
      <c r="E7" s="1" t="s">
        <v>47</v>
      </c>
      <c r="F7" s="2">
        <f>('2014'!F7*Faktor!$B$3)+'2014'!F7</f>
        <v>3.56928</v>
      </c>
      <c r="G7" s="1"/>
      <c r="H7" s="4"/>
    </row>
    <row r="8" spans="1:8" x14ac:dyDescent="0.15">
      <c r="A8" s="3" t="s">
        <v>5</v>
      </c>
      <c r="B8" s="2">
        <f>('2014'!B8*Faktor!$B$3)+'2014'!B8</f>
        <v>2.0888400000000003</v>
      </c>
      <c r="C8" s="1"/>
      <c r="D8" s="1"/>
      <c r="E8" s="1" t="s">
        <v>99</v>
      </c>
      <c r="F8" s="2">
        <f>('2014'!F8*Faktor!$B$3)+'2014'!F8</f>
        <v>13.384799999999998</v>
      </c>
      <c r="G8" s="1"/>
      <c r="H8" s="4"/>
    </row>
    <row r="9" spans="1:8" x14ac:dyDescent="0.15">
      <c r="A9" s="3" t="s">
        <v>54</v>
      </c>
      <c r="B9" s="2">
        <f>('2014'!B9*Faktor!$B$3)+'2014'!B9</f>
        <v>3.4577400000000003</v>
      </c>
      <c r="C9" s="1"/>
      <c r="D9" s="1"/>
      <c r="E9" s="1" t="s">
        <v>45</v>
      </c>
      <c r="F9" s="2">
        <f>('2014'!F9*Faktor!$B$3)+'2014'!F9</f>
        <v>3.1231200000000001</v>
      </c>
      <c r="G9" s="1"/>
      <c r="H9" s="4"/>
    </row>
    <row r="10" spans="1:8" x14ac:dyDescent="0.15">
      <c r="A10" s="3" t="s">
        <v>107</v>
      </c>
      <c r="B10" s="2">
        <f>('2014'!B10*Faktor!$B$3)+'2014'!B10</f>
        <v>1.3891800000000001</v>
      </c>
      <c r="C10" s="1"/>
      <c r="D10" s="1"/>
      <c r="E10" s="1" t="s">
        <v>46</v>
      </c>
      <c r="F10" s="2">
        <f>('2014'!F10*Faktor!$B$3)+'2014'!F10</f>
        <v>11.85366</v>
      </c>
      <c r="G10" s="1"/>
      <c r="H10" s="4"/>
    </row>
    <row r="11" spans="1:8" x14ac:dyDescent="0.15">
      <c r="A11" s="3" t="s">
        <v>6</v>
      </c>
      <c r="B11" s="2">
        <f>('2014'!B11*Faktor!$B$3)+'2014'!B11</f>
        <v>14.5509</v>
      </c>
      <c r="C11" s="1"/>
      <c r="D11" s="1"/>
      <c r="E11" s="1" t="s">
        <v>96</v>
      </c>
      <c r="F11" s="2">
        <f>('2014'!F11*Faktor!$B$3)+'2014'!F11</f>
        <v>4.0154399999999999</v>
      </c>
      <c r="G11" s="1"/>
      <c r="H11" s="4"/>
    </row>
    <row r="12" spans="1:8" x14ac:dyDescent="0.15">
      <c r="A12" s="3" t="s">
        <v>7</v>
      </c>
      <c r="B12" s="2">
        <f>('2014'!B12*Faktor!$B$3)+'2014'!B12</f>
        <v>14.5509</v>
      </c>
      <c r="C12" s="1"/>
      <c r="D12" s="1"/>
      <c r="E12" s="1" t="s">
        <v>48</v>
      </c>
      <c r="F12" s="2">
        <f>('2014'!F12*Faktor!$B$3)+'2014'!F12</f>
        <v>10.45434</v>
      </c>
      <c r="G12" s="1"/>
      <c r="H12" s="4"/>
    </row>
    <row r="13" spans="1:8" x14ac:dyDescent="0.15">
      <c r="A13" s="3" t="s">
        <v>8</v>
      </c>
      <c r="B13" s="2">
        <f>('2014'!B13*Faktor!$B$3)+'2014'!B13</f>
        <v>14.5509</v>
      </c>
      <c r="C13" s="1"/>
      <c r="D13" s="1"/>
      <c r="E13" s="1" t="s">
        <v>94</v>
      </c>
      <c r="F13" s="2">
        <f>('2014'!F13*Faktor!$B$3)+'2014'!F13</f>
        <v>3.1231200000000001</v>
      </c>
      <c r="G13" s="1"/>
      <c r="H13" s="4"/>
    </row>
    <row r="14" spans="1:8" x14ac:dyDescent="0.15">
      <c r="A14" s="3" t="s">
        <v>9</v>
      </c>
      <c r="B14" s="2">
        <f>('2014'!B14*Faktor!$B$3)+'2014'!B14</f>
        <v>14.5509</v>
      </c>
      <c r="C14" s="1"/>
      <c r="D14" s="1"/>
      <c r="E14" s="1" t="s">
        <v>49</v>
      </c>
      <c r="F14" s="2">
        <f>('2014'!F14*Faktor!$B$3)+'2014'!F14</f>
        <v>3.1231200000000001</v>
      </c>
      <c r="G14" s="1"/>
      <c r="H14" s="4"/>
    </row>
    <row r="15" spans="1:8" x14ac:dyDescent="0.15">
      <c r="A15" s="3" t="s">
        <v>10</v>
      </c>
      <c r="B15" s="2">
        <f>('2014'!B15*Faktor!$B$3)+'2014'!B15</f>
        <v>14.5509</v>
      </c>
      <c r="C15" s="1"/>
      <c r="D15" s="1"/>
      <c r="E15" s="1" t="s">
        <v>50</v>
      </c>
      <c r="F15" s="2">
        <f>('2014'!F15*Faktor!$B$3)+'2014'!F15</f>
        <v>3.1231200000000001</v>
      </c>
      <c r="G15" s="1"/>
      <c r="H15" s="4"/>
    </row>
    <row r="16" spans="1:8" x14ac:dyDescent="0.15">
      <c r="A16" s="22" t="s">
        <v>103</v>
      </c>
      <c r="B16" s="2">
        <f>('2014'!B16*Faktor!$B$3)+'2014'!B16</f>
        <v>2.14968</v>
      </c>
      <c r="C16" s="1"/>
      <c r="D16" s="1"/>
      <c r="E16" s="1" t="s">
        <v>51</v>
      </c>
      <c r="F16" s="2">
        <f>('2014'!F16*Faktor!$B$3)+'2014'!F16</f>
        <v>3.1231200000000001</v>
      </c>
      <c r="G16" s="1"/>
      <c r="H16" s="4"/>
    </row>
    <row r="17" spans="1:8" x14ac:dyDescent="0.15">
      <c r="A17" s="3" t="s">
        <v>11</v>
      </c>
      <c r="B17" s="2">
        <f>('2014'!B17*Faktor!$B$3)+'2014'!B17</f>
        <v>4.9787400000000002</v>
      </c>
      <c r="C17" s="1"/>
      <c r="D17" s="1"/>
      <c r="E17" s="1" t="s">
        <v>52</v>
      </c>
      <c r="F17" s="2">
        <f>('2014'!F17*Faktor!$B$3)+'2014'!F17</f>
        <v>3.1231200000000001</v>
      </c>
      <c r="G17" s="1"/>
      <c r="H17" s="4"/>
    </row>
    <row r="18" spans="1:8" x14ac:dyDescent="0.15">
      <c r="A18" s="3" t="s">
        <v>12</v>
      </c>
      <c r="B18" s="2">
        <f>('2014'!B18*Faktor!$B$3)+'2014'!B18</f>
        <v>4.9787400000000002</v>
      </c>
      <c r="C18" s="1"/>
      <c r="D18" s="1"/>
      <c r="E18" s="1" t="s">
        <v>53</v>
      </c>
      <c r="F18" s="2">
        <f>('2014'!F18*Faktor!$B$3)+'2014'!F18</f>
        <v>3.1231200000000001</v>
      </c>
      <c r="G18" s="1"/>
      <c r="H18" s="4"/>
    </row>
    <row r="19" spans="1:8" x14ac:dyDescent="0.15">
      <c r="A19" s="3" t="s">
        <v>13</v>
      </c>
      <c r="B19" s="2">
        <f>('2014'!B19*Faktor!$B$3)+'2014'!B19</f>
        <v>4.9787400000000002</v>
      </c>
      <c r="C19" s="1"/>
      <c r="D19" s="1"/>
      <c r="E19" s="1" t="s">
        <v>85</v>
      </c>
      <c r="F19" s="2">
        <f>('2014'!F19*Faktor!$B$3)+'2014'!F19</f>
        <v>4.3094999999999999</v>
      </c>
      <c r="G19" s="1"/>
      <c r="H19" s="4"/>
    </row>
    <row r="20" spans="1:8" x14ac:dyDescent="0.15">
      <c r="A20" s="3" t="s">
        <v>14</v>
      </c>
      <c r="B20" s="2">
        <f>('2014'!B20*Faktor!$B$3)+'2014'!B20</f>
        <v>4.9787400000000002</v>
      </c>
      <c r="C20" s="1"/>
      <c r="D20" s="1"/>
      <c r="E20" s="1" t="s">
        <v>86</v>
      </c>
      <c r="F20" s="2">
        <f>('2014'!F20*Faktor!$B$3)+'2014'!F20</f>
        <v>8.6189999999999998</v>
      </c>
      <c r="G20" s="1"/>
      <c r="H20" s="4"/>
    </row>
    <row r="21" spans="1:8" x14ac:dyDescent="0.15">
      <c r="A21" s="3" t="s">
        <v>15</v>
      </c>
      <c r="B21" s="2">
        <f>('2014'!B21*Faktor!$B$3)+'2014'!B21</f>
        <v>4.9787400000000002</v>
      </c>
      <c r="C21" s="1"/>
      <c r="D21" s="1"/>
      <c r="E21" s="1" t="s">
        <v>89</v>
      </c>
      <c r="F21" s="2">
        <f>('2014'!F21*Faktor!$B$3)+'2014'!F21</f>
        <v>12.9285</v>
      </c>
      <c r="G21" s="1"/>
      <c r="H21" s="4"/>
    </row>
    <row r="22" spans="1:8" x14ac:dyDescent="0.15">
      <c r="A22" s="3" t="s">
        <v>16</v>
      </c>
      <c r="B22" s="2">
        <f>('2014'!B22*Faktor!$B$3)+'2014'!B22</f>
        <v>4.9787400000000002</v>
      </c>
      <c r="C22" s="1"/>
      <c r="D22" s="1"/>
      <c r="E22" s="1" t="s">
        <v>87</v>
      </c>
      <c r="F22" s="2">
        <f>('2014'!F22*Faktor!$B$3)+'2014'!F22</f>
        <v>17.238</v>
      </c>
      <c r="G22" s="1"/>
      <c r="H22" s="4"/>
    </row>
    <row r="23" spans="1:8" x14ac:dyDescent="0.15">
      <c r="A23" s="3" t="s">
        <v>17</v>
      </c>
      <c r="B23" s="2">
        <f>('2014'!B23*Faktor!$B$3)+'2014'!B23</f>
        <v>3.74166</v>
      </c>
      <c r="C23" s="1"/>
      <c r="D23" s="1"/>
      <c r="E23" s="1" t="s">
        <v>90</v>
      </c>
      <c r="F23" s="2">
        <f>('2014'!F23*Faktor!$B$3)+'2014'!F23</f>
        <v>21.547499999999999</v>
      </c>
      <c r="G23" s="1"/>
      <c r="H23" s="4"/>
    </row>
    <row r="24" spans="1:8" x14ac:dyDescent="0.15">
      <c r="A24" s="3" t="s">
        <v>18</v>
      </c>
      <c r="B24" s="2">
        <f>('2014'!B24*Faktor!$B$3)+'2014'!B24</f>
        <v>3.74166</v>
      </c>
      <c r="C24" s="1"/>
      <c r="D24" s="1"/>
      <c r="E24" s="1" t="s">
        <v>88</v>
      </c>
      <c r="F24" s="2">
        <f>('2014'!F24*Faktor!$B$3)+'2014'!F24</f>
        <v>25.856999999999999</v>
      </c>
      <c r="G24" s="1"/>
      <c r="H24" s="4"/>
    </row>
    <row r="25" spans="1:8" x14ac:dyDescent="0.15">
      <c r="A25" s="3" t="s">
        <v>19</v>
      </c>
      <c r="B25" s="2">
        <f>('2014'!B25*Faktor!$B$3)+'2014'!B25</f>
        <v>3.74166</v>
      </c>
      <c r="C25" s="1"/>
      <c r="D25" s="1"/>
      <c r="E25" s="1" t="s">
        <v>102</v>
      </c>
      <c r="F25" s="2">
        <f>('2014'!F25*Faktor!$B$3)+'2014'!F25</f>
        <v>11.82324</v>
      </c>
      <c r="G25" s="1"/>
      <c r="H25" s="4"/>
    </row>
    <row r="26" spans="1:8" x14ac:dyDescent="0.15">
      <c r="A26" s="3" t="s">
        <v>20</v>
      </c>
      <c r="B26" s="2">
        <f>('2014'!B26*Faktor!$B$3)+'2014'!B26</f>
        <v>3.74166</v>
      </c>
      <c r="C26" s="1"/>
      <c r="D26" s="1"/>
      <c r="E26" s="1" t="s">
        <v>106</v>
      </c>
      <c r="F26" s="2">
        <f>'2014'!F26</f>
        <v>7.98</v>
      </c>
      <c r="G26" s="1"/>
      <c r="H26" s="4"/>
    </row>
    <row r="27" spans="1:8" x14ac:dyDescent="0.15">
      <c r="A27" s="3" t="s">
        <v>21</v>
      </c>
      <c r="B27" s="2">
        <f>('2014'!B27*Faktor!$B$3)+'2014'!B27</f>
        <v>7.8889200000000006</v>
      </c>
      <c r="C27" s="1"/>
      <c r="D27" s="1"/>
      <c r="E27" s="1" t="s">
        <v>44</v>
      </c>
      <c r="F27" s="2">
        <f>('2014'!F27*Faktor!$B$3)+'2014'!F27</f>
        <v>0</v>
      </c>
      <c r="G27" s="1"/>
      <c r="H27" s="4"/>
    </row>
    <row r="28" spans="1:8" x14ac:dyDescent="0.15">
      <c r="A28" s="3" t="s">
        <v>22</v>
      </c>
      <c r="B28" s="2">
        <f>('2014'!B28*Faktor!$B$3)+'2014'!B28</f>
        <v>7.8889200000000006</v>
      </c>
      <c r="C28" s="1"/>
      <c r="D28" s="1"/>
      <c r="E28" s="1" t="s">
        <v>110</v>
      </c>
      <c r="F28" s="2">
        <f>('2014'!F28*Faktor!$B$3)+'2014'!F28</f>
        <v>3.2346599999999999</v>
      </c>
      <c r="G28" s="1"/>
      <c r="H28" s="4"/>
    </row>
    <row r="29" spans="1:8" x14ac:dyDescent="0.15">
      <c r="A29" s="3" t="s">
        <v>104</v>
      </c>
      <c r="B29" s="2">
        <f>('2014'!B29*Faktor!$B$3)+'2014'!B29</f>
        <v>4.9787400000000002</v>
      </c>
      <c r="C29" s="1"/>
      <c r="D29" s="1"/>
      <c r="E29" s="1" t="s">
        <v>82</v>
      </c>
      <c r="F29" s="2">
        <f>('2014'!F29*Faktor!$B$3)+'2014'!F29</f>
        <v>40.154400000000003</v>
      </c>
      <c r="G29" s="1"/>
      <c r="H29" s="4"/>
    </row>
    <row r="30" spans="1:8" x14ac:dyDescent="0.15">
      <c r="A30" s="3" t="s">
        <v>105</v>
      </c>
      <c r="B30" s="2">
        <f>('2014'!B30*Faktor!$B$3)+'2014'!B30</f>
        <v>3.7315200000000002</v>
      </c>
      <c r="C30" s="1"/>
      <c r="D30" s="1"/>
      <c r="E30" s="1" t="s">
        <v>83</v>
      </c>
      <c r="F30" s="2">
        <f>('2014'!F30*Faktor!$B$3)+'2014'!F30</f>
        <v>10.038600000000001</v>
      </c>
      <c r="G30" s="1"/>
      <c r="H30" s="4"/>
    </row>
    <row r="31" spans="1:8" x14ac:dyDescent="0.15">
      <c r="A31" s="3" t="s">
        <v>23</v>
      </c>
      <c r="B31" s="2">
        <f>('2014'!B31*Faktor!$B$3)+'2014'!B31</f>
        <v>3.5388600000000001</v>
      </c>
      <c r="C31" s="1"/>
      <c r="D31" s="1"/>
      <c r="E31" s="1" t="s">
        <v>55</v>
      </c>
      <c r="F31" s="2">
        <f>('2014'!F31*Faktor!$B$3)+'2014'!F31</f>
        <v>19.75272</v>
      </c>
      <c r="G31" s="1"/>
      <c r="H31" s="4"/>
    </row>
    <row r="32" spans="1:8" x14ac:dyDescent="0.15">
      <c r="A32" s="3" t="s">
        <v>24</v>
      </c>
      <c r="B32" s="2">
        <f>('2014'!B32*Faktor!$B$3)+'2014'!B32</f>
        <v>3.5388600000000001</v>
      </c>
      <c r="C32" s="1"/>
      <c r="D32" s="1"/>
      <c r="E32" s="1" t="s">
        <v>56</v>
      </c>
      <c r="F32" s="2">
        <f>('2014'!F32*Faktor!$B$3)+'2014'!F32</f>
        <v>2.6871</v>
      </c>
      <c r="G32" s="1"/>
      <c r="H32" s="4"/>
    </row>
    <row r="33" spans="1:8" x14ac:dyDescent="0.15">
      <c r="A33" s="3" t="s">
        <v>64</v>
      </c>
      <c r="B33" s="2">
        <f>('2014'!B33*Faktor!$B$3)+'2014'!B33</f>
        <v>2.2510800000000004</v>
      </c>
      <c r="C33" s="1"/>
      <c r="D33" s="1"/>
      <c r="E33" s="1" t="s">
        <v>57</v>
      </c>
      <c r="F33" s="2">
        <f>('2014'!F33*Faktor!$B$3)+'2014'!F33</f>
        <v>7.43262</v>
      </c>
      <c r="G33" s="1"/>
      <c r="H33" s="4"/>
    </row>
    <row r="34" spans="1:8" x14ac:dyDescent="0.15">
      <c r="A34" s="3" t="s">
        <v>25</v>
      </c>
      <c r="B34" s="2">
        <f>('2014'!B34*Faktor!$B$3)+'2014'!B34</f>
        <v>5.6885400000000006</v>
      </c>
      <c r="C34" s="1"/>
      <c r="D34" s="1"/>
      <c r="E34" s="1" t="s">
        <v>58</v>
      </c>
      <c r="F34" s="2">
        <f>('2014'!F34*Faktor!$B$3)+'2014'!F34</f>
        <v>7.43262</v>
      </c>
      <c r="G34" s="1"/>
      <c r="H34" s="4"/>
    </row>
    <row r="35" spans="1:8" x14ac:dyDescent="0.15">
      <c r="A35" s="3" t="s">
        <v>26</v>
      </c>
      <c r="B35" s="2">
        <f>('2014'!B35*Faktor!$B$3)+'2014'!B35</f>
        <v>5.6885400000000006</v>
      </c>
      <c r="C35" s="1"/>
      <c r="D35" s="1"/>
      <c r="E35" s="1" t="s">
        <v>59</v>
      </c>
      <c r="F35" s="2">
        <f>('2014'!F35*Faktor!$B$3)+'2014'!F35</f>
        <v>35.084400000000002</v>
      </c>
      <c r="G35" s="1"/>
      <c r="H35" s="4"/>
    </row>
    <row r="36" spans="1:8" x14ac:dyDescent="0.15">
      <c r="A36" s="3" t="s">
        <v>27</v>
      </c>
      <c r="B36" s="2">
        <f>('2014'!B36*Faktor!$B$3)+'2014'!B36</f>
        <v>2.4335999999999998</v>
      </c>
      <c r="C36" s="1"/>
      <c r="D36" s="1"/>
      <c r="E36" s="1" t="s">
        <v>60</v>
      </c>
      <c r="F36" s="2">
        <f>('2014'!F36*Faktor!$B$3)+'2014'!F36</f>
        <v>30.501119999999997</v>
      </c>
      <c r="G36" s="1"/>
      <c r="H36" s="4"/>
    </row>
    <row r="37" spans="1:8" x14ac:dyDescent="0.15">
      <c r="A37" s="3" t="s">
        <v>28</v>
      </c>
      <c r="B37" s="2">
        <f>('2014'!B37*Faktor!$B$3)+'2014'!B37</f>
        <v>2.4335999999999998</v>
      </c>
      <c r="C37" s="1"/>
      <c r="D37" s="1"/>
      <c r="E37" s="1" t="s">
        <v>61</v>
      </c>
      <c r="F37" s="2">
        <f>('2014'!F37*Faktor!$B$3)+'2014'!F37</f>
        <v>30.501119999999997</v>
      </c>
      <c r="G37" s="1"/>
      <c r="H37" s="4"/>
    </row>
    <row r="38" spans="1:8" x14ac:dyDescent="0.15">
      <c r="A38" s="3" t="s">
        <v>29</v>
      </c>
      <c r="B38" s="2">
        <f>('2014'!B38*Faktor!$B$3)+'2014'!B38</f>
        <v>2.4335999999999998</v>
      </c>
      <c r="C38" s="1"/>
      <c r="D38" s="1"/>
      <c r="E38" s="1"/>
      <c r="F38" s="2"/>
      <c r="G38" s="1"/>
      <c r="H38" s="4"/>
    </row>
    <row r="39" spans="1:8" x14ac:dyDescent="0.15">
      <c r="A39" s="3" t="s">
        <v>30</v>
      </c>
      <c r="B39" s="2">
        <f>('2014'!B39*Faktor!$B$3)+'2014'!B39</f>
        <v>2.4335999999999998</v>
      </c>
      <c r="C39" s="1"/>
      <c r="D39" s="1"/>
      <c r="E39" s="1" t="s">
        <v>63</v>
      </c>
      <c r="F39" s="2">
        <f>('2014'!F39*Faktor!$B$3)+'2014'!F39</f>
        <v>2.2308000000000003</v>
      </c>
      <c r="G39" s="1"/>
      <c r="H39" s="4"/>
    </row>
    <row r="40" spans="1:8" x14ac:dyDescent="0.15">
      <c r="A40" s="3" t="s">
        <v>31</v>
      </c>
      <c r="B40" s="2">
        <f>('2014'!B40*Faktor!$B$3)+'2014'!B40</f>
        <v>2.4335999999999998</v>
      </c>
      <c r="C40" s="1"/>
      <c r="D40" s="1"/>
      <c r="E40" s="1" t="s">
        <v>62</v>
      </c>
      <c r="F40" s="2">
        <f>('2014'!F40*Faktor!$B$3)+'2014'!F40</f>
        <v>5.3539200000000005</v>
      </c>
      <c r="G40" s="1"/>
      <c r="H40" s="4"/>
    </row>
    <row r="41" spans="1:8" x14ac:dyDescent="0.15">
      <c r="A41" s="3" t="s">
        <v>32</v>
      </c>
      <c r="B41" s="2">
        <f>('2014'!B41*Faktor!$B$3)+'2014'!B41</f>
        <v>2.4335999999999998</v>
      </c>
      <c r="C41" s="1"/>
      <c r="D41" s="1"/>
      <c r="E41" s="1"/>
      <c r="F41" s="2"/>
      <c r="G41" s="1"/>
      <c r="H41" s="4"/>
    </row>
    <row r="42" spans="1:8" x14ac:dyDescent="0.15">
      <c r="A42" s="3" t="s">
        <v>98</v>
      </c>
      <c r="B42" s="2">
        <f>('2014'!B42*Faktor!$B$3)+'2014'!B42</f>
        <v>4.8671999999999995</v>
      </c>
      <c r="C42" s="1"/>
      <c r="D42" s="1"/>
      <c r="E42" s="1"/>
      <c r="F42" s="2"/>
      <c r="G42" s="1"/>
      <c r="H42" s="4"/>
    </row>
    <row r="43" spans="1:8" x14ac:dyDescent="0.15">
      <c r="A43" s="3" t="s">
        <v>91</v>
      </c>
      <c r="B43" s="2">
        <f>('2014'!B43*Faktor!$B$3)+'2014'!B43</f>
        <v>14.540760000000001</v>
      </c>
      <c r="C43" s="1"/>
      <c r="D43" s="1"/>
      <c r="E43" s="1"/>
      <c r="F43" s="2"/>
      <c r="G43" s="1"/>
      <c r="H43" s="4"/>
    </row>
    <row r="44" spans="1:8" x14ac:dyDescent="0.15">
      <c r="A44" s="3" t="s">
        <v>92</v>
      </c>
      <c r="B44" s="2">
        <f>('2014'!B44*Faktor!$B$3)+'2014'!B44</f>
        <v>14.540760000000001</v>
      </c>
      <c r="C44" s="1"/>
      <c r="D44" s="1"/>
      <c r="E44" s="1"/>
      <c r="F44" s="2"/>
      <c r="G44" s="1"/>
      <c r="H44" s="4"/>
    </row>
    <row r="45" spans="1:8" x14ac:dyDescent="0.15">
      <c r="A45" s="3" t="s">
        <v>93</v>
      </c>
      <c r="B45" s="2">
        <f>('2014'!B45*Faktor!$B$3)+'2014'!B45</f>
        <v>6.2969400000000002</v>
      </c>
      <c r="C45" s="1"/>
      <c r="D45" s="1"/>
      <c r="E45" s="1" t="s">
        <v>108</v>
      </c>
      <c r="F45" s="2">
        <f>('2014'!F45*Faktor!$B$3)+'2014'!F45</f>
        <v>5.3640600000000003</v>
      </c>
      <c r="G45" s="1"/>
      <c r="H45" s="4"/>
    </row>
    <row r="46" spans="1:8" x14ac:dyDescent="0.15">
      <c r="A46" s="3" t="s">
        <v>33</v>
      </c>
      <c r="B46" s="2">
        <f>('2014'!B46*Faktor!$B$3)+'2014'!B46</f>
        <v>15.088320000000001</v>
      </c>
      <c r="C46" s="1"/>
      <c r="D46" s="1"/>
      <c r="E46" s="1" t="s">
        <v>65</v>
      </c>
      <c r="F46" s="2">
        <f>('2014'!F46*Faktor!$B$3)+'2014'!F46</f>
        <v>6.4186199999999998</v>
      </c>
      <c r="G46" s="1"/>
      <c r="H46" s="4"/>
    </row>
    <row r="47" spans="1:8" x14ac:dyDescent="0.15">
      <c r="A47" s="3" t="s">
        <v>34</v>
      </c>
      <c r="B47" s="2">
        <f>('2014'!B47*Faktor!$B$3)+'2014'!B47</f>
        <v>11.85366</v>
      </c>
      <c r="C47" s="1"/>
      <c r="D47" s="1"/>
      <c r="E47" s="1" t="s">
        <v>66</v>
      </c>
      <c r="F47" s="2">
        <f>('2014'!F47*Faktor!$B$3)+'2014'!F47</f>
        <v>3.86334</v>
      </c>
      <c r="G47" s="1"/>
      <c r="H47" s="4"/>
    </row>
    <row r="48" spans="1:8" x14ac:dyDescent="0.15">
      <c r="A48" s="3" t="s">
        <v>35</v>
      </c>
      <c r="B48" s="2">
        <f>('2014'!B48*Faktor!$B$3)+'2014'!B48</f>
        <v>8.6189999999999998</v>
      </c>
      <c r="C48" s="1"/>
      <c r="D48" s="1"/>
      <c r="E48" s="1" t="s">
        <v>84</v>
      </c>
      <c r="F48" s="2">
        <f>('2014'!F48*Faktor!$B$3)+'2014'!F48</f>
        <v>9.4910399999999999</v>
      </c>
      <c r="G48" s="1"/>
      <c r="H48" s="4"/>
    </row>
    <row r="49" spans="1:8" ht="13.5" thickBot="1" x14ac:dyDescent="0.2">
      <c r="A49" s="3" t="s">
        <v>97</v>
      </c>
      <c r="B49" s="2">
        <f>('2014'!B49*Faktor!$B$3)+'2014'!B49</f>
        <v>6.4186199999999998</v>
      </c>
      <c r="C49" s="1"/>
      <c r="D49" s="1"/>
      <c r="E49" s="37"/>
      <c r="F49" s="42"/>
      <c r="G49" s="37"/>
      <c r="H49" s="39"/>
    </row>
    <row r="50" spans="1:8" x14ac:dyDescent="0.15">
      <c r="A50" s="3" t="s">
        <v>81</v>
      </c>
      <c r="B50" s="2">
        <f>('2014'!B50*Faktor!$B$3)+'2014'!B50</f>
        <v>8.0308799999999998</v>
      </c>
      <c r="C50" s="1"/>
      <c r="D50" s="35"/>
      <c r="E50" s="21" t="s">
        <v>101</v>
      </c>
      <c r="F50" s="41"/>
      <c r="G50" s="9"/>
      <c r="H50" s="11"/>
    </row>
    <row r="51" spans="1:8" x14ac:dyDescent="0.15">
      <c r="A51" s="3" t="s">
        <v>36</v>
      </c>
      <c r="B51" s="2">
        <f>('2014'!B51*Faktor!$B$3)+'2014'!B51</f>
        <v>4.9178999999999995</v>
      </c>
      <c r="C51" s="1"/>
      <c r="D51" s="35"/>
      <c r="E51" s="3" t="s">
        <v>67</v>
      </c>
      <c r="F51" s="2"/>
      <c r="G51" s="1"/>
      <c r="H51" s="4"/>
    </row>
    <row r="52" spans="1:8" x14ac:dyDescent="0.15">
      <c r="A52" s="3" t="s">
        <v>37</v>
      </c>
      <c r="B52" s="2">
        <f>('2014'!B52*Faktor!$B$3)+'2014'!B52</f>
        <v>4.9178999999999995</v>
      </c>
      <c r="C52" s="1"/>
      <c r="D52" s="35"/>
      <c r="E52" s="3" t="s">
        <v>68</v>
      </c>
      <c r="F52" s="2">
        <f>('2014'!F52*Faktor!$B$3)+'2014'!F52</f>
        <v>2.6972400000000003</v>
      </c>
      <c r="G52" s="1"/>
      <c r="H52" s="4"/>
    </row>
    <row r="53" spans="1:8" x14ac:dyDescent="0.15">
      <c r="A53" s="3" t="s">
        <v>38</v>
      </c>
      <c r="B53" s="2">
        <f>('2014'!B53*Faktor!$B$3)+'2014'!B53</f>
        <v>4.9178999999999995</v>
      </c>
      <c r="C53" s="1"/>
      <c r="D53" s="35"/>
      <c r="E53" s="3" t="s">
        <v>80</v>
      </c>
      <c r="F53" s="2"/>
      <c r="G53" s="1"/>
      <c r="H53" s="4"/>
    </row>
    <row r="54" spans="1:8" x14ac:dyDescent="0.15">
      <c r="A54" s="3" t="s">
        <v>39</v>
      </c>
      <c r="B54" s="2">
        <f>('2014'!B54*Faktor!$B$3)+'2014'!B54</f>
        <v>4.9178999999999995</v>
      </c>
      <c r="C54" s="1"/>
      <c r="D54" s="35"/>
      <c r="E54" s="3"/>
      <c r="F54" s="2"/>
      <c r="G54" s="1"/>
      <c r="H54" s="4"/>
    </row>
    <row r="55" spans="1:8" x14ac:dyDescent="0.15">
      <c r="A55" s="3" t="s">
        <v>40</v>
      </c>
      <c r="B55" s="2">
        <f>('2014'!B55*Faktor!$B$3)+'2014'!B55</f>
        <v>4.9178999999999995</v>
      </c>
      <c r="C55" s="1"/>
      <c r="D55" s="35"/>
      <c r="E55" s="3" t="s">
        <v>69</v>
      </c>
      <c r="F55" s="2">
        <f>('2014'!F55*Faktor!$B$3)+'2014'!F55</f>
        <v>56.033639999999998</v>
      </c>
      <c r="G55" s="1"/>
      <c r="H55" s="4"/>
    </row>
    <row r="56" spans="1:8" x14ac:dyDescent="0.15">
      <c r="A56" s="3" t="s">
        <v>41</v>
      </c>
      <c r="B56" s="2">
        <f>('2014'!B56*Faktor!$B$3)+'2014'!B56</f>
        <v>21.9024</v>
      </c>
      <c r="C56" s="1"/>
      <c r="D56" s="35"/>
      <c r="E56" s="3" t="s">
        <v>70</v>
      </c>
      <c r="F56" s="2">
        <f>('2014'!F56*Faktor!$B$3)+'2014'!F56</f>
        <v>1.65282</v>
      </c>
      <c r="G56" s="1"/>
      <c r="H56" s="4"/>
    </row>
    <row r="57" spans="1:8" x14ac:dyDescent="0.15">
      <c r="A57" s="3" t="s">
        <v>42</v>
      </c>
      <c r="B57" s="2">
        <f>('2014'!B57*Faktor!$B$3)+'2014'!B57</f>
        <v>21.9024</v>
      </c>
      <c r="C57" s="1"/>
      <c r="D57" s="35"/>
      <c r="E57" s="3" t="s">
        <v>71</v>
      </c>
      <c r="F57" s="2"/>
      <c r="G57" s="1"/>
      <c r="H57" s="4"/>
    </row>
    <row r="58" spans="1:8" x14ac:dyDescent="0.15">
      <c r="A58" s="3" t="s">
        <v>100</v>
      </c>
      <c r="B58" s="2">
        <f>('2014'!B58*Faktor!$B$3)+'2014'!B58</f>
        <v>21.9024</v>
      </c>
      <c r="C58" s="1"/>
      <c r="D58" s="35"/>
      <c r="E58" s="3" t="s">
        <v>72</v>
      </c>
      <c r="F58" s="2"/>
      <c r="G58" s="1"/>
      <c r="H58" s="4"/>
    </row>
    <row r="59" spans="1:8" ht="13.5" thickBot="1" x14ac:dyDescent="0.2">
      <c r="A59" s="5" t="s">
        <v>43</v>
      </c>
      <c r="B59" s="42">
        <f>('2014'!B59*Faktor!$B$3)+'2014'!B59</f>
        <v>21.9024</v>
      </c>
      <c r="C59" s="6"/>
      <c r="D59" s="36"/>
      <c r="E59" s="5"/>
      <c r="F59" s="6"/>
      <c r="G59" s="6"/>
      <c r="H59" s="7"/>
    </row>
  </sheetData>
  <pageMargins left="0.31496062992125984" right="0.31496062992125984" top="0.55118110236220474" bottom="0.15748031496062992" header="0.31496062992125984" footer="0.31496062992125984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5E35-A7C9-441B-8CF7-B89E4BA4B620}">
  <dimension ref="A1:H60"/>
  <sheetViews>
    <sheetView workbookViewId="0">
      <selection activeCell="F8" sqref="F8"/>
    </sheetView>
  </sheetViews>
  <sheetFormatPr defaultColWidth="8.8984375" defaultRowHeight="12.75" x14ac:dyDescent="0.15"/>
  <cols>
    <col min="1" max="1" width="18.203125" customWidth="1"/>
    <col min="2" max="2" width="5.2578125" customWidth="1"/>
    <col min="3" max="4" width="8.8984375" customWidth="1"/>
    <col min="5" max="5" width="16.98828125" customWidth="1"/>
    <col min="6" max="6" width="5.390625" customWidth="1"/>
  </cols>
  <sheetData>
    <row r="1" spans="1:8" ht="18.75" thickBot="1" x14ac:dyDescent="0.25">
      <c r="D1" s="46"/>
      <c r="E1" s="47" t="s">
        <v>111</v>
      </c>
    </row>
    <row r="2" spans="1:8" x14ac:dyDescent="0.15">
      <c r="A2" s="17" t="s">
        <v>0</v>
      </c>
      <c r="B2" s="25"/>
      <c r="C2" s="26"/>
      <c r="D2" s="27"/>
      <c r="E2" s="31" t="s">
        <v>76</v>
      </c>
      <c r="F2" s="21"/>
      <c r="G2" s="9"/>
      <c r="H2" s="11"/>
    </row>
    <row r="3" spans="1:8" x14ac:dyDescent="0.15">
      <c r="A3" s="16" t="s">
        <v>1</v>
      </c>
      <c r="B3" s="18"/>
      <c r="C3" s="19"/>
      <c r="D3" s="20"/>
      <c r="E3" s="32" t="s">
        <v>77</v>
      </c>
      <c r="F3" s="3"/>
      <c r="G3" s="1"/>
      <c r="H3" s="4"/>
    </row>
    <row r="4" spans="1:8" x14ac:dyDescent="0.15">
      <c r="A4" s="16" t="s">
        <v>2</v>
      </c>
      <c r="B4" s="18"/>
      <c r="C4" s="19"/>
      <c r="D4" s="20"/>
      <c r="E4" s="32" t="s">
        <v>78</v>
      </c>
      <c r="F4" s="3"/>
      <c r="G4" s="1"/>
      <c r="H4" s="4"/>
    </row>
    <row r="5" spans="1:8" ht="13.5" thickBot="1" x14ac:dyDescent="0.2">
      <c r="A5" s="23" t="s">
        <v>3</v>
      </c>
      <c r="B5" s="28"/>
      <c r="C5" s="29"/>
      <c r="D5" s="30"/>
      <c r="E5" s="33" t="s">
        <v>79</v>
      </c>
      <c r="F5" s="5"/>
      <c r="G5" s="6"/>
      <c r="H5" s="7"/>
    </row>
    <row r="6" spans="1:8" x14ac:dyDescent="0.15">
      <c r="A6" s="21"/>
      <c r="B6" s="14" t="s">
        <v>73</v>
      </c>
      <c r="C6" s="14" t="s">
        <v>74</v>
      </c>
      <c r="D6" s="14" t="s">
        <v>75</v>
      </c>
      <c r="E6" s="9"/>
      <c r="F6" s="14" t="s">
        <v>73</v>
      </c>
      <c r="G6" s="14" t="s">
        <v>74</v>
      </c>
      <c r="H6" s="15" t="s">
        <v>75</v>
      </c>
    </row>
    <row r="7" spans="1:8" x14ac:dyDescent="0.15">
      <c r="A7" s="3" t="s">
        <v>4</v>
      </c>
      <c r="B7" s="2">
        <f>('2015'!B7*Faktor!$B$4)+'2015'!B7</f>
        <v>2.1285279600000004</v>
      </c>
      <c r="C7" s="1"/>
      <c r="D7" s="1"/>
      <c r="E7" s="1" t="s">
        <v>47</v>
      </c>
      <c r="F7" s="2">
        <f>('2015'!F7*Faktor!$B$4)+'2015'!F7</f>
        <v>3.6370963199999999</v>
      </c>
      <c r="G7" s="1"/>
      <c r="H7" s="4"/>
    </row>
    <row r="8" spans="1:8" x14ac:dyDescent="0.15">
      <c r="A8" s="3" t="s">
        <v>5</v>
      </c>
      <c r="B8" s="2">
        <f>('2015'!B8*Faktor!$B$4)+'2015'!B8</f>
        <v>2.1285279600000004</v>
      </c>
      <c r="C8" s="1"/>
      <c r="D8" s="1"/>
      <c r="E8" s="1" t="s">
        <v>99</v>
      </c>
      <c r="F8" s="2">
        <f>('2015'!F8*Faktor!$B$4)+'2015'!F8</f>
        <v>13.639111199999999</v>
      </c>
      <c r="G8" s="1"/>
      <c r="H8" s="4"/>
    </row>
    <row r="9" spans="1:8" x14ac:dyDescent="0.15">
      <c r="A9" s="3" t="s">
        <v>54</v>
      </c>
      <c r="B9" s="2">
        <f>('2015'!B9*Faktor!$B$4)+'2015'!B9</f>
        <v>3.5234370600000005</v>
      </c>
      <c r="C9" s="1"/>
      <c r="D9" s="1"/>
      <c r="E9" s="1" t="s">
        <v>45</v>
      </c>
      <c r="F9" s="2">
        <f>('2015'!F9*Faktor!$B$4)+'2015'!F9</f>
        <v>3.1824592800000002</v>
      </c>
      <c r="G9" s="1"/>
      <c r="H9" s="4"/>
    </row>
    <row r="10" spans="1:8" x14ac:dyDescent="0.15">
      <c r="A10" s="3" t="s">
        <v>107</v>
      </c>
      <c r="B10" s="2">
        <f>('2015'!B10*Faktor!$B$4)+'2015'!B10</f>
        <v>1.41557442</v>
      </c>
      <c r="C10" s="1"/>
      <c r="D10" s="1"/>
      <c r="E10" s="1" t="s">
        <v>46</v>
      </c>
      <c r="F10" s="2">
        <f>('2015'!F10*Faktor!$B$4)+'2015'!F10</f>
        <v>12.078879539999999</v>
      </c>
      <c r="G10" s="1"/>
      <c r="H10" s="4"/>
    </row>
    <row r="11" spans="1:8" x14ac:dyDescent="0.15">
      <c r="A11" s="3" t="s">
        <v>6</v>
      </c>
      <c r="B11" s="2">
        <f>('2015'!B11*Faktor!$B$4)+'2015'!B11</f>
        <v>14.8273671</v>
      </c>
      <c r="C11" s="1"/>
      <c r="D11" s="1"/>
      <c r="E11" s="1" t="s">
        <v>96</v>
      </c>
      <c r="F11" s="2">
        <f>('2015'!F11*Faktor!$B$4)+'2015'!F11</f>
        <v>4.0917333600000001</v>
      </c>
      <c r="G11" s="1"/>
      <c r="H11" s="4"/>
    </row>
    <row r="12" spans="1:8" x14ac:dyDescent="0.15">
      <c r="A12" s="3" t="s">
        <v>7</v>
      </c>
      <c r="B12" s="2">
        <f>('2015'!B12*Faktor!$B$4)+'2015'!B12</f>
        <v>14.8273671</v>
      </c>
      <c r="C12" s="1"/>
      <c r="D12" s="1"/>
      <c r="E12" s="1" t="s">
        <v>48</v>
      </c>
      <c r="F12" s="2">
        <f>('2015'!F12*Faktor!$B$4)+'2015'!F12</f>
        <v>10.652972460000001</v>
      </c>
      <c r="G12" s="1"/>
      <c r="H12" s="4"/>
    </row>
    <row r="13" spans="1:8" x14ac:dyDescent="0.15">
      <c r="A13" s="3" t="s">
        <v>8</v>
      </c>
      <c r="B13" s="2">
        <f>('2015'!B13*Faktor!$B$4)+'2015'!B13</f>
        <v>14.8273671</v>
      </c>
      <c r="C13" s="1"/>
      <c r="D13" s="1"/>
      <c r="E13" s="1" t="s">
        <v>94</v>
      </c>
      <c r="F13" s="2">
        <f>('2015'!F13*Faktor!$B$4)+'2015'!F13</f>
        <v>3.1824592800000002</v>
      </c>
      <c r="G13" s="1"/>
      <c r="H13" s="4"/>
    </row>
    <row r="14" spans="1:8" x14ac:dyDescent="0.15">
      <c r="A14" s="3" t="s">
        <v>9</v>
      </c>
      <c r="B14" s="2">
        <f>('2015'!B14*Faktor!$B$4)+'2015'!B14</f>
        <v>14.8273671</v>
      </c>
      <c r="C14" s="1"/>
      <c r="D14" s="1"/>
      <c r="E14" s="1" t="s">
        <v>49</v>
      </c>
      <c r="F14" s="2">
        <f>('2015'!F14*Faktor!$B$4)+'2015'!F14</f>
        <v>3.1824592800000002</v>
      </c>
      <c r="G14" s="1"/>
      <c r="H14" s="4"/>
    </row>
    <row r="15" spans="1:8" x14ac:dyDescent="0.15">
      <c r="A15" s="3" t="s">
        <v>10</v>
      </c>
      <c r="B15" s="2">
        <f>('2015'!B15*Faktor!$B$4)+'2015'!B15</f>
        <v>14.8273671</v>
      </c>
      <c r="C15" s="1"/>
      <c r="D15" s="1"/>
      <c r="E15" s="1" t="s">
        <v>50</v>
      </c>
      <c r="F15" s="2">
        <f>('2015'!F15*Faktor!$B$4)+'2015'!F15</f>
        <v>3.1824592800000002</v>
      </c>
      <c r="G15" s="1"/>
      <c r="H15" s="4"/>
    </row>
    <row r="16" spans="1:8" x14ac:dyDescent="0.15">
      <c r="A16" s="22" t="s">
        <v>103</v>
      </c>
      <c r="B16" s="2">
        <f>('2015'!B16*Faktor!$B$4)+'2015'!B16</f>
        <v>2.19052392</v>
      </c>
      <c r="C16" s="1"/>
      <c r="D16" s="1"/>
      <c r="E16" s="1" t="s">
        <v>51</v>
      </c>
      <c r="F16" s="2">
        <f>('2015'!F16*Faktor!$B$4)+'2015'!F16</f>
        <v>3.1824592800000002</v>
      </c>
      <c r="G16" s="1"/>
      <c r="H16" s="4"/>
    </row>
    <row r="17" spans="1:8" x14ac:dyDescent="0.15">
      <c r="A17" s="3" t="s">
        <v>11</v>
      </c>
      <c r="B17" s="2">
        <f>('2015'!B17*Faktor!$B$4)+'2015'!B17</f>
        <v>5.0733360599999999</v>
      </c>
      <c r="C17" s="1"/>
      <c r="D17" s="1"/>
      <c r="E17" s="1" t="s">
        <v>52</v>
      </c>
      <c r="F17" s="2">
        <f>('2015'!F17*Faktor!$B$4)+'2015'!F17</f>
        <v>3.1824592800000002</v>
      </c>
      <c r="G17" s="1"/>
      <c r="H17" s="4"/>
    </row>
    <row r="18" spans="1:8" x14ac:dyDescent="0.15">
      <c r="A18" s="3" t="s">
        <v>12</v>
      </c>
      <c r="B18" s="2">
        <f>('2015'!B18*Faktor!$B$4)+'2015'!B18</f>
        <v>5.0733360599999999</v>
      </c>
      <c r="C18" s="1"/>
      <c r="D18" s="1"/>
      <c r="E18" s="1" t="s">
        <v>53</v>
      </c>
      <c r="F18" s="2">
        <f>('2015'!F18*Faktor!$B$4)+'2015'!F18</f>
        <v>3.1824592800000002</v>
      </c>
      <c r="G18" s="1"/>
      <c r="H18" s="4"/>
    </row>
    <row r="19" spans="1:8" x14ac:dyDescent="0.15">
      <c r="A19" s="3" t="s">
        <v>13</v>
      </c>
      <c r="B19" s="2">
        <f>('2015'!B19*Faktor!$B$4)+'2015'!B19</f>
        <v>5.0733360599999999</v>
      </c>
      <c r="C19" s="1"/>
      <c r="D19" s="1"/>
      <c r="E19" s="1" t="s">
        <v>85</v>
      </c>
      <c r="F19" s="2">
        <f>('2015'!F19*Faktor!$B$4)+'2015'!F19</f>
        <v>4.3913804999999995</v>
      </c>
      <c r="G19" s="1"/>
      <c r="H19" s="4"/>
    </row>
    <row r="20" spans="1:8" x14ac:dyDescent="0.15">
      <c r="A20" s="3" t="s">
        <v>14</v>
      </c>
      <c r="B20" s="2">
        <f>('2015'!B20*Faktor!$B$4)+'2015'!B20</f>
        <v>5.0733360599999999</v>
      </c>
      <c r="C20" s="1"/>
      <c r="D20" s="1"/>
      <c r="E20" s="1" t="s">
        <v>86</v>
      </c>
      <c r="F20" s="2">
        <f>('2015'!F20*Faktor!$B$4)+'2015'!F20</f>
        <v>8.7827609999999989</v>
      </c>
      <c r="G20" s="1"/>
      <c r="H20" s="4"/>
    </row>
    <row r="21" spans="1:8" x14ac:dyDescent="0.15">
      <c r="A21" s="3" t="s">
        <v>15</v>
      </c>
      <c r="B21" s="2">
        <f>('2015'!B21*Faktor!$B$4)+'2015'!B21</f>
        <v>5.0733360599999999</v>
      </c>
      <c r="C21" s="1"/>
      <c r="D21" s="1"/>
      <c r="E21" s="1" t="s">
        <v>89</v>
      </c>
      <c r="F21" s="2">
        <f>('2015'!F21*Faktor!$B$4)+'2015'!F21</f>
        <v>13.174141499999999</v>
      </c>
      <c r="G21" s="1"/>
      <c r="H21" s="4"/>
    </row>
    <row r="22" spans="1:8" x14ac:dyDescent="0.15">
      <c r="A22" s="3" t="s">
        <v>16</v>
      </c>
      <c r="B22" s="2">
        <f>('2015'!B22*Faktor!$B$4)+'2015'!B22</f>
        <v>5.0733360599999999</v>
      </c>
      <c r="C22" s="1"/>
      <c r="D22" s="1"/>
      <c r="E22" s="1" t="s">
        <v>87</v>
      </c>
      <c r="F22" s="2">
        <f>('2015'!F22*Faktor!$B$4)+'2015'!F22</f>
        <v>17.565521999999998</v>
      </c>
      <c r="G22" s="1"/>
      <c r="H22" s="4"/>
    </row>
    <row r="23" spans="1:8" x14ac:dyDescent="0.15">
      <c r="A23" s="3" t="s">
        <v>17</v>
      </c>
      <c r="B23" s="2">
        <f>('2015'!B23*Faktor!$B$4)+'2015'!B23</f>
        <v>3.8127515399999998</v>
      </c>
      <c r="C23" s="1"/>
      <c r="D23" s="1"/>
      <c r="E23" s="1" t="s">
        <v>90</v>
      </c>
      <c r="F23" s="2">
        <f>('2015'!F23*Faktor!$B$4)+'2015'!F23</f>
        <v>21.956902499999998</v>
      </c>
      <c r="G23" s="1"/>
      <c r="H23" s="4"/>
    </row>
    <row r="24" spans="1:8" x14ac:dyDescent="0.15">
      <c r="A24" s="3" t="s">
        <v>18</v>
      </c>
      <c r="B24" s="2">
        <f>('2015'!B24*Faktor!$B$4)+'2015'!B24</f>
        <v>3.8127515399999998</v>
      </c>
      <c r="C24" s="1"/>
      <c r="D24" s="1"/>
      <c r="E24" s="1" t="s">
        <v>88</v>
      </c>
      <c r="F24" s="2">
        <f>('2015'!F24*Faktor!$B$4)+'2015'!F24</f>
        <v>26.348282999999999</v>
      </c>
      <c r="G24" s="1"/>
      <c r="H24" s="4"/>
    </row>
    <row r="25" spans="1:8" x14ac:dyDescent="0.15">
      <c r="A25" s="3" t="s">
        <v>19</v>
      </c>
      <c r="B25" s="2">
        <f>('2015'!B25*Faktor!$B$4)+'2015'!B25</f>
        <v>3.8127515399999998</v>
      </c>
      <c r="C25" s="1"/>
      <c r="D25" s="1"/>
      <c r="E25" s="51" t="s">
        <v>97</v>
      </c>
      <c r="F25" s="2">
        <f>('2015'!B49*Faktor!$B$4)+'2015'!B49</f>
        <v>6.5405737799999999</v>
      </c>
      <c r="G25" s="1"/>
      <c r="H25" s="4"/>
    </row>
    <row r="26" spans="1:8" x14ac:dyDescent="0.15">
      <c r="A26" s="3" t="s">
        <v>112</v>
      </c>
      <c r="B26" s="2">
        <v>3.81</v>
      </c>
      <c r="C26" s="1"/>
      <c r="D26" s="1"/>
      <c r="E26" s="51" t="s">
        <v>81</v>
      </c>
      <c r="F26" s="2">
        <f>('2015'!B50*Faktor!$B$4)+'2015'!B50</f>
        <v>8.1834667200000002</v>
      </c>
      <c r="G26" s="1"/>
      <c r="H26" s="4"/>
    </row>
    <row r="27" spans="1:8" x14ac:dyDescent="0.15">
      <c r="A27" s="3" t="s">
        <v>20</v>
      </c>
      <c r="B27" s="2">
        <f>('2015'!B26*Faktor!$B$4)+'2015'!B26</f>
        <v>3.8127515399999998</v>
      </c>
      <c r="C27" s="1"/>
      <c r="D27" s="1"/>
      <c r="E27" s="1" t="s">
        <v>106</v>
      </c>
      <c r="F27" s="2">
        <f>('2015'!F26*Faktor!$B$4)+'2015'!F26</f>
        <v>8.1316199999999998</v>
      </c>
      <c r="G27" s="1"/>
      <c r="H27" s="4"/>
    </row>
    <row r="28" spans="1:8" x14ac:dyDescent="0.15">
      <c r="A28" s="3" t="s">
        <v>21</v>
      </c>
      <c r="B28" s="2">
        <f>('2015'!B27*Faktor!$B$4)+'2015'!B27</f>
        <v>8.0388094800000012</v>
      </c>
      <c r="C28" s="1"/>
      <c r="D28" s="1"/>
      <c r="E28" s="1" t="s">
        <v>44</v>
      </c>
      <c r="F28" s="2">
        <f>('2015'!F27*Faktor!$B$4)+'2015'!F27</f>
        <v>0</v>
      </c>
      <c r="G28" s="1"/>
      <c r="H28" s="4"/>
    </row>
    <row r="29" spans="1:8" x14ac:dyDescent="0.15">
      <c r="A29" s="3" t="s">
        <v>22</v>
      </c>
      <c r="B29" s="2">
        <f>('2015'!B28*Faktor!$B$4)+'2015'!B28</f>
        <v>8.0388094800000012</v>
      </c>
      <c r="C29" s="1"/>
      <c r="D29" s="1"/>
      <c r="E29" s="1" t="s">
        <v>110</v>
      </c>
      <c r="F29" s="2">
        <f>('2015'!F28*Faktor!$B$4)+'2015'!F28</f>
        <v>3.2961185399999997</v>
      </c>
      <c r="G29" s="1"/>
      <c r="H29" s="4"/>
    </row>
    <row r="30" spans="1:8" x14ac:dyDescent="0.15">
      <c r="A30" s="3" t="s">
        <v>104</v>
      </c>
      <c r="B30" s="2">
        <f>('2015'!B29*Faktor!$B$4)+'2015'!B29</f>
        <v>5.0733360599999999</v>
      </c>
      <c r="C30" s="1"/>
      <c r="D30" s="1"/>
      <c r="E30" s="1" t="s">
        <v>82</v>
      </c>
      <c r="F30" s="2">
        <f>('2015'!F29*Faktor!$B$4)+'2015'!F29</f>
        <v>40.917333599999999</v>
      </c>
      <c r="G30" s="1"/>
      <c r="H30" s="4"/>
    </row>
    <row r="31" spans="1:8" x14ac:dyDescent="0.15">
      <c r="A31" s="3" t="s">
        <v>105</v>
      </c>
      <c r="B31" s="2">
        <f>('2015'!B30*Faktor!$B$4)+'2015'!B30</f>
        <v>3.8024188800000003</v>
      </c>
      <c r="C31" s="1"/>
      <c r="D31" s="1"/>
      <c r="E31" s="1" t="s">
        <v>83</v>
      </c>
      <c r="F31" s="2">
        <f>('2015'!F30*Faktor!$B$4)+'2015'!F30</f>
        <v>10.2293334</v>
      </c>
      <c r="G31" s="1"/>
      <c r="H31" s="4"/>
    </row>
    <row r="32" spans="1:8" x14ac:dyDescent="0.15">
      <c r="A32" s="3" t="s">
        <v>23</v>
      </c>
      <c r="B32" s="2">
        <f>('2015'!B31*Faktor!$B$4)+'2015'!B31</f>
        <v>3.60609834</v>
      </c>
      <c r="C32" s="1"/>
      <c r="D32" s="1"/>
      <c r="E32" s="1" t="s">
        <v>55</v>
      </c>
      <c r="F32" s="2">
        <f>('2015'!F31*Faktor!$B$4)+'2015'!F31</f>
        <v>20.12802168</v>
      </c>
      <c r="G32" s="1"/>
      <c r="H32" s="4"/>
    </row>
    <row r="33" spans="1:8" x14ac:dyDescent="0.15">
      <c r="A33" s="3" t="s">
        <v>24</v>
      </c>
      <c r="B33" s="2">
        <f>('2015'!B32*Faktor!$B$4)+'2015'!B32</f>
        <v>3.60609834</v>
      </c>
      <c r="C33" s="1"/>
      <c r="D33" s="1"/>
      <c r="E33" s="1" t="s">
        <v>56</v>
      </c>
      <c r="F33" s="2">
        <f>('2015'!F32*Faktor!$B$4)+'2015'!F32</f>
        <v>2.7381549000000001</v>
      </c>
      <c r="G33" s="1"/>
      <c r="H33" s="4"/>
    </row>
    <row r="34" spans="1:8" x14ac:dyDescent="0.15">
      <c r="A34" s="3" t="s">
        <v>64</v>
      </c>
      <c r="B34" s="2">
        <f>('2015'!B33*Faktor!$B$4)+'2015'!B33</f>
        <v>2.2938505200000003</v>
      </c>
      <c r="C34" s="1"/>
      <c r="D34" s="1"/>
      <c r="E34" s="1" t="s">
        <v>57</v>
      </c>
      <c r="F34" s="2">
        <f>('2015'!F33*Faktor!$B$4)+'2015'!F33</f>
        <v>7.5738397800000001</v>
      </c>
      <c r="G34" s="1"/>
      <c r="H34" s="4"/>
    </row>
    <row r="35" spans="1:8" x14ac:dyDescent="0.15">
      <c r="A35" s="3" t="s">
        <v>25</v>
      </c>
      <c r="B35" s="2">
        <f>('2015'!B34*Faktor!$B$4)+'2015'!B34</f>
        <v>5.7966222600000004</v>
      </c>
      <c r="C35" s="1"/>
      <c r="D35" s="1"/>
      <c r="E35" s="1" t="s">
        <v>58</v>
      </c>
      <c r="F35" s="2">
        <f>('2015'!F34*Faktor!$B$4)+'2015'!F34</f>
        <v>7.5738397800000001</v>
      </c>
      <c r="G35" s="1"/>
      <c r="H35" s="4"/>
    </row>
    <row r="36" spans="1:8" x14ac:dyDescent="0.15">
      <c r="A36" s="3" t="s">
        <v>26</v>
      </c>
      <c r="B36" s="2">
        <f>('2015'!B35*Faktor!$B$4)+'2015'!B35</f>
        <v>5.7966222600000004</v>
      </c>
      <c r="C36" s="1"/>
      <c r="D36" s="1"/>
      <c r="E36" s="1" t="s">
        <v>59</v>
      </c>
      <c r="F36" s="2">
        <f>('2015'!F35*Faktor!$B$4)+'2015'!F35</f>
        <v>35.751003600000004</v>
      </c>
      <c r="G36" s="1"/>
      <c r="H36" s="4"/>
    </row>
    <row r="37" spans="1:8" x14ac:dyDescent="0.15">
      <c r="A37" s="3" t="s">
        <v>27</v>
      </c>
      <c r="B37" s="2">
        <f>('2015'!B36*Faktor!$B$4)+'2015'!B36</f>
        <v>2.4798383999999998</v>
      </c>
      <c r="C37" s="1"/>
      <c r="D37" s="1"/>
      <c r="E37" s="1" t="s">
        <v>60</v>
      </c>
      <c r="F37" s="2">
        <f>('2015'!F36*Faktor!$B$4)+'2015'!F36</f>
        <v>31.080641279999998</v>
      </c>
      <c r="G37" s="1"/>
      <c r="H37" s="4"/>
    </row>
    <row r="38" spans="1:8" x14ac:dyDescent="0.15">
      <c r="A38" s="3" t="s">
        <v>28</v>
      </c>
      <c r="B38" s="2">
        <f>('2015'!B37*Faktor!$B$4)+'2015'!B37</f>
        <v>2.4798383999999998</v>
      </c>
      <c r="C38" s="1"/>
      <c r="D38" s="1"/>
      <c r="E38" s="1" t="s">
        <v>61</v>
      </c>
      <c r="F38" s="2">
        <f>('2015'!F37*Faktor!$B$4)+'2015'!F37</f>
        <v>31.080641279999998</v>
      </c>
      <c r="G38" s="1"/>
      <c r="H38" s="4"/>
    </row>
    <row r="39" spans="1:8" x14ac:dyDescent="0.15">
      <c r="A39" s="3" t="s">
        <v>29</v>
      </c>
      <c r="B39" s="2">
        <f>('2015'!B38*Faktor!$B$4)+'2015'!B38</f>
        <v>2.4798383999999998</v>
      </c>
      <c r="C39" s="1"/>
      <c r="D39" s="1"/>
      <c r="E39" s="1" t="s">
        <v>102</v>
      </c>
      <c r="F39" s="2">
        <f>('2015'!F25*Faktor!$B$4)+'2015'!F25</f>
        <v>12.04788156</v>
      </c>
      <c r="G39" s="1"/>
      <c r="H39" s="4"/>
    </row>
    <row r="40" spans="1:8" x14ac:dyDescent="0.15">
      <c r="A40" s="3" t="s">
        <v>30</v>
      </c>
      <c r="B40" s="2">
        <f>('2015'!B39*Faktor!$B$4)+'2015'!B39</f>
        <v>2.4798383999999998</v>
      </c>
      <c r="C40" s="1"/>
      <c r="D40" s="1"/>
      <c r="E40" s="1" t="s">
        <v>63</v>
      </c>
      <c r="F40" s="2">
        <f>('2015'!F39*Faktor!$B$4)+'2015'!F39</f>
        <v>2.2731852000000003</v>
      </c>
      <c r="G40" s="1"/>
      <c r="H40" s="4"/>
    </row>
    <row r="41" spans="1:8" x14ac:dyDescent="0.15">
      <c r="A41" s="3" t="s">
        <v>31</v>
      </c>
      <c r="B41" s="2">
        <f>('2015'!B40*Faktor!$B$4)+'2015'!B40</f>
        <v>2.4798383999999998</v>
      </c>
      <c r="C41" s="1"/>
      <c r="D41" s="1"/>
      <c r="E41" s="1" t="s">
        <v>62</v>
      </c>
      <c r="F41" s="2">
        <f>('2015'!F40*Faktor!$B$4)+'2015'!F40</f>
        <v>5.4556444800000001</v>
      </c>
      <c r="G41" s="1"/>
      <c r="H41" s="4"/>
    </row>
    <row r="42" spans="1:8" x14ac:dyDescent="0.15">
      <c r="A42" s="3" t="s">
        <v>32</v>
      </c>
      <c r="B42" s="2">
        <f>('2015'!B41*Faktor!$B$4)+'2015'!B41</f>
        <v>2.4798383999999998</v>
      </c>
      <c r="C42" s="1"/>
      <c r="D42" s="1"/>
      <c r="E42" s="1"/>
      <c r="F42" s="2"/>
      <c r="G42" s="1"/>
      <c r="H42" s="4"/>
    </row>
    <row r="43" spans="1:8" x14ac:dyDescent="0.15">
      <c r="A43" s="3" t="s">
        <v>98</v>
      </c>
      <c r="B43" s="2">
        <f>('2015'!B42*Faktor!$B$4)+'2015'!B42</f>
        <v>4.9596767999999996</v>
      </c>
      <c r="C43" s="1"/>
      <c r="D43" s="1"/>
      <c r="E43" s="50" t="s">
        <v>114</v>
      </c>
      <c r="F43" s="2">
        <v>238.26</v>
      </c>
      <c r="G43" s="1"/>
      <c r="H43" s="4"/>
    </row>
    <row r="44" spans="1:8" x14ac:dyDescent="0.15">
      <c r="A44" s="3" t="s">
        <v>91</v>
      </c>
      <c r="B44" s="2">
        <f>('2015'!B43*Faktor!$B$4)+'2015'!B43</f>
        <v>14.81703444</v>
      </c>
      <c r="C44" s="1"/>
      <c r="D44" s="1"/>
      <c r="E44" s="50" t="s">
        <v>115</v>
      </c>
      <c r="F44" s="2">
        <v>120.32</v>
      </c>
      <c r="G44" s="1"/>
      <c r="H44" s="4"/>
    </row>
    <row r="45" spans="1:8" x14ac:dyDescent="0.15">
      <c r="A45" s="3" t="s">
        <v>92</v>
      </c>
      <c r="B45" s="2">
        <f>('2015'!B44*Faktor!$B$4)+'2015'!B44</f>
        <v>14.81703444</v>
      </c>
      <c r="C45" s="1"/>
      <c r="D45" s="1"/>
      <c r="E45" s="1"/>
      <c r="F45" s="2"/>
      <c r="G45" s="1"/>
      <c r="H45" s="4"/>
    </row>
    <row r="46" spans="1:8" x14ac:dyDescent="0.15">
      <c r="A46" s="3" t="s">
        <v>93</v>
      </c>
      <c r="B46" s="2">
        <f>('2015'!B45*Faktor!$B$4)+'2015'!B45</f>
        <v>6.41658186</v>
      </c>
      <c r="C46" s="1"/>
      <c r="D46" s="1"/>
      <c r="E46" s="1" t="s">
        <v>108</v>
      </c>
      <c r="F46" s="2">
        <f>('2015'!F45*Faktor!$B$4)+'2015'!F45</f>
        <v>5.4659771400000006</v>
      </c>
      <c r="G46" s="1"/>
      <c r="H46" s="4"/>
    </row>
    <row r="47" spans="1:8" x14ac:dyDescent="0.15">
      <c r="A47" s="1" t="s">
        <v>113</v>
      </c>
      <c r="B47" s="49">
        <v>21.66</v>
      </c>
      <c r="C47" s="1"/>
      <c r="D47" s="1"/>
      <c r="E47" s="1" t="s">
        <v>65</v>
      </c>
      <c r="F47" s="2">
        <f>('2015'!F46*Faktor!$B$4)+'2015'!F46</f>
        <v>6.5405737799999999</v>
      </c>
      <c r="G47" s="1"/>
      <c r="H47" s="4"/>
    </row>
    <row r="48" spans="1:8" x14ac:dyDescent="0.15">
      <c r="A48" s="3" t="s">
        <v>33</v>
      </c>
      <c r="B48" s="2">
        <f>('2015'!B46*Faktor!$B$4)+'2015'!B46</f>
        <v>15.374998080000001</v>
      </c>
      <c r="C48" s="1"/>
      <c r="D48" s="1"/>
      <c r="E48" s="1" t="s">
        <v>66</v>
      </c>
      <c r="F48" s="2">
        <f>('2015'!F47*Faktor!$B$4)+'2015'!F47</f>
        <v>3.9367434600000002</v>
      </c>
      <c r="G48" s="1"/>
      <c r="H48" s="4"/>
    </row>
    <row r="49" spans="1:8" x14ac:dyDescent="0.15">
      <c r="A49" s="3" t="s">
        <v>34</v>
      </c>
      <c r="B49" s="2">
        <f>('2015'!B47*Faktor!$B$4)+'2015'!B47</f>
        <v>12.078879539999999</v>
      </c>
      <c r="C49" s="1"/>
      <c r="D49" s="1"/>
      <c r="E49" s="37" t="s">
        <v>84</v>
      </c>
      <c r="F49" s="2">
        <f>('2015'!F48*Faktor!$B$4)+'2015'!F48</f>
        <v>9.6713697599999993</v>
      </c>
      <c r="G49" s="1"/>
      <c r="H49" s="4"/>
    </row>
    <row r="50" spans="1:8" ht="13.5" thickBot="1" x14ac:dyDescent="0.2">
      <c r="A50" s="3" t="s">
        <v>35</v>
      </c>
      <c r="B50" s="2">
        <f>('2015'!B48*Faktor!$B$4)+'2015'!B48</f>
        <v>8.7827609999999989</v>
      </c>
      <c r="C50" s="1"/>
      <c r="D50" s="1"/>
      <c r="E50" s="37"/>
      <c r="G50" s="37"/>
      <c r="H50" s="39"/>
    </row>
    <row r="51" spans="1:8" x14ac:dyDescent="0.15">
      <c r="B51" s="1"/>
      <c r="C51" s="1"/>
      <c r="D51" s="35"/>
      <c r="E51" s="21" t="s">
        <v>101</v>
      </c>
      <c r="F51" s="48"/>
      <c r="G51" s="9"/>
      <c r="H51" s="11"/>
    </row>
    <row r="52" spans="1:8" x14ac:dyDescent="0.15">
      <c r="A52" s="3" t="s">
        <v>36</v>
      </c>
      <c r="B52" s="2">
        <f>('2015'!B51*Faktor!$B$4)+'2015'!B51</f>
        <v>5.0113400999999991</v>
      </c>
      <c r="C52" s="1"/>
      <c r="D52" s="35"/>
      <c r="E52" s="3" t="s">
        <v>67</v>
      </c>
      <c r="F52" s="2"/>
      <c r="G52" s="1"/>
      <c r="H52" s="4"/>
    </row>
    <row r="53" spans="1:8" x14ac:dyDescent="0.15">
      <c r="A53" s="3" t="s">
        <v>37</v>
      </c>
      <c r="B53" s="2">
        <f>('2015'!B52*Faktor!$B$4)+'2015'!B52</f>
        <v>5.0113400999999991</v>
      </c>
      <c r="C53" s="1"/>
      <c r="D53" s="35"/>
      <c r="E53" s="3" t="s">
        <v>68</v>
      </c>
      <c r="F53" s="2">
        <f>('2015'!F52*Faktor!$B$4)+'2015'!F52</f>
        <v>2.7484875600000005</v>
      </c>
      <c r="G53" s="1"/>
      <c r="H53" s="4"/>
    </row>
    <row r="54" spans="1:8" x14ac:dyDescent="0.15">
      <c r="A54" s="3" t="s">
        <v>38</v>
      </c>
      <c r="B54" s="2">
        <f>('2015'!B53*Faktor!$B$4)+'2015'!B53</f>
        <v>5.0113400999999991</v>
      </c>
      <c r="C54" s="1"/>
      <c r="D54" s="35"/>
      <c r="E54" s="3" t="s">
        <v>80</v>
      </c>
      <c r="F54" s="2"/>
      <c r="G54" s="1"/>
      <c r="H54" s="4"/>
    </row>
    <row r="55" spans="1:8" x14ac:dyDescent="0.15">
      <c r="A55" s="3" t="s">
        <v>39</v>
      </c>
      <c r="B55" s="2">
        <f>('2015'!B54*Faktor!$B$4)+'2015'!B54</f>
        <v>5.0113400999999991</v>
      </c>
      <c r="C55" s="1"/>
      <c r="D55" s="35"/>
      <c r="E55" s="3"/>
      <c r="F55" s="2"/>
      <c r="G55" s="1"/>
      <c r="H55" s="4"/>
    </row>
    <row r="56" spans="1:8" x14ac:dyDescent="0.15">
      <c r="A56" s="3" t="s">
        <v>40</v>
      </c>
      <c r="B56" s="2">
        <f>('2015'!B55*Faktor!$B$4)+'2015'!B55</f>
        <v>5.0113400999999991</v>
      </c>
      <c r="C56" s="1"/>
      <c r="D56" s="35"/>
      <c r="E56" s="3" t="s">
        <v>69</v>
      </c>
      <c r="F56" s="2">
        <f>('2015'!F55*Faktor!$B$4)+'2015'!F55</f>
        <v>57.098279159999997</v>
      </c>
      <c r="G56" s="1"/>
      <c r="H56" s="4"/>
    </row>
    <row r="57" spans="1:8" x14ac:dyDescent="0.15">
      <c r="A57" s="3" t="s">
        <v>41</v>
      </c>
      <c r="B57" s="2">
        <f>('2015'!B56*Faktor!$B$4)+'2015'!B56</f>
        <v>22.3185456</v>
      </c>
      <c r="C57" s="1"/>
      <c r="D57" s="35"/>
      <c r="E57" s="3" t="s">
        <v>70</v>
      </c>
      <c r="F57" s="2">
        <f>('2015'!F56*Faktor!$B$4)+'2015'!F56</f>
        <v>1.6842235800000001</v>
      </c>
      <c r="G57" s="1"/>
      <c r="H57" s="4"/>
    </row>
    <row r="58" spans="1:8" x14ac:dyDescent="0.15">
      <c r="A58" s="3" t="s">
        <v>42</v>
      </c>
      <c r="B58" s="2">
        <f>('2015'!B57*Faktor!$B$4)+'2015'!B57</f>
        <v>22.3185456</v>
      </c>
      <c r="C58" s="1"/>
      <c r="D58" s="35"/>
      <c r="E58" s="3" t="s">
        <v>71</v>
      </c>
      <c r="F58" s="2"/>
      <c r="G58" s="1"/>
      <c r="H58" s="4"/>
    </row>
    <row r="59" spans="1:8" x14ac:dyDescent="0.15">
      <c r="A59" s="3" t="s">
        <v>100</v>
      </c>
      <c r="B59" s="2">
        <f>('2015'!B58*Faktor!$B$4)+'2015'!B58</f>
        <v>22.3185456</v>
      </c>
      <c r="C59" s="1"/>
      <c r="D59" s="35"/>
      <c r="E59" s="3" t="s">
        <v>72</v>
      </c>
      <c r="F59" s="2"/>
      <c r="G59" s="1"/>
      <c r="H59" s="4"/>
    </row>
    <row r="60" spans="1:8" ht="13.5" thickBot="1" x14ac:dyDescent="0.2">
      <c r="A60" s="5" t="s">
        <v>43</v>
      </c>
      <c r="B60" s="42">
        <f>('2015'!B59*Faktor!$B$4)+'2015'!B59</f>
        <v>22.3185456</v>
      </c>
      <c r="C60" s="6"/>
      <c r="D60" s="36"/>
      <c r="E60" s="5"/>
      <c r="F60" s="6"/>
      <c r="G60" s="6"/>
      <c r="H60" s="7"/>
    </row>
  </sheetData>
  <pageMargins left="0.70866141732283472" right="0.70866141732283472" top="0.55118110236220474" bottom="0.55118110236220474" header="0.31496062992125984" footer="0.31496062992125984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1E59-11D3-440C-854B-961AF3A59F21}">
  <dimension ref="A1:H60"/>
  <sheetViews>
    <sheetView topLeftCell="A22" workbookViewId="0">
      <selection activeCell="G33" sqref="G33"/>
    </sheetView>
  </sheetViews>
  <sheetFormatPr defaultColWidth="8.8984375" defaultRowHeight="12.75" x14ac:dyDescent="0.15"/>
  <cols>
    <col min="1" max="1" width="18.33984375" customWidth="1"/>
    <col min="2" max="2" width="6.3359375" customWidth="1"/>
    <col min="3" max="4" width="8.8984375" customWidth="1"/>
    <col min="5" max="5" width="16.71875" customWidth="1"/>
    <col min="6" max="6" width="6.7421875" customWidth="1"/>
  </cols>
  <sheetData>
    <row r="1" spans="1:8" ht="18.75" customHeight="1" thickBot="1" x14ac:dyDescent="0.2">
      <c r="A1" s="164" t="s">
        <v>116</v>
      </c>
      <c r="B1" s="164"/>
      <c r="C1" s="164"/>
      <c r="D1" s="164"/>
      <c r="E1" s="164"/>
      <c r="F1" s="164"/>
      <c r="G1" s="164"/>
      <c r="H1" s="164"/>
    </row>
    <row r="2" spans="1:8" x14ac:dyDescent="0.15">
      <c r="A2" s="17" t="s">
        <v>0</v>
      </c>
      <c r="B2" s="25"/>
      <c r="C2" s="26"/>
      <c r="D2" s="27"/>
      <c r="E2" s="31" t="s">
        <v>76</v>
      </c>
      <c r="F2" s="21"/>
      <c r="G2" s="9"/>
      <c r="H2" s="11"/>
    </row>
    <row r="3" spans="1:8" x14ac:dyDescent="0.15">
      <c r="A3" s="16" t="s">
        <v>1</v>
      </c>
      <c r="B3" s="18"/>
      <c r="C3" s="19"/>
      <c r="D3" s="20"/>
      <c r="E3" s="32" t="s">
        <v>77</v>
      </c>
      <c r="F3" s="3"/>
      <c r="G3" s="1"/>
      <c r="H3" s="4"/>
    </row>
    <row r="4" spans="1:8" x14ac:dyDescent="0.15">
      <c r="A4" s="16" t="s">
        <v>2</v>
      </c>
      <c r="B4" s="18"/>
      <c r="C4" s="19"/>
      <c r="D4" s="20"/>
      <c r="E4" s="32" t="s">
        <v>78</v>
      </c>
      <c r="F4" s="3"/>
      <c r="G4" s="1"/>
      <c r="H4" s="4"/>
    </row>
    <row r="5" spans="1:8" ht="13.5" thickBot="1" x14ac:dyDescent="0.2">
      <c r="A5" s="23" t="s">
        <v>3</v>
      </c>
      <c r="B5" s="28"/>
      <c r="C5" s="29"/>
      <c r="D5" s="30"/>
      <c r="E5" s="33" t="s">
        <v>79</v>
      </c>
      <c r="F5" s="5"/>
      <c r="G5" s="6"/>
      <c r="H5" s="7"/>
    </row>
    <row r="6" spans="1:8" x14ac:dyDescent="0.15">
      <c r="A6" s="21"/>
      <c r="B6" s="14" t="s">
        <v>73</v>
      </c>
      <c r="C6" s="14" t="s">
        <v>74</v>
      </c>
      <c r="D6" s="14" t="s">
        <v>75</v>
      </c>
      <c r="E6" s="9"/>
      <c r="F6" s="14" t="s">
        <v>73</v>
      </c>
      <c r="G6" s="14" t="s">
        <v>74</v>
      </c>
      <c r="H6" s="15" t="s">
        <v>75</v>
      </c>
    </row>
    <row r="7" spans="1:8" x14ac:dyDescent="0.15">
      <c r="A7" s="3" t="s">
        <v>4</v>
      </c>
      <c r="B7" s="2">
        <v>2.17</v>
      </c>
      <c r="C7" s="1"/>
      <c r="D7" s="1"/>
      <c r="E7" s="1" t="s">
        <v>47</v>
      </c>
      <c r="F7" s="2">
        <v>12.3</v>
      </c>
      <c r="G7" s="1"/>
      <c r="H7" s="4"/>
    </row>
    <row r="8" spans="1:8" x14ac:dyDescent="0.15">
      <c r="A8" s="3" t="s">
        <v>5</v>
      </c>
      <c r="B8" s="2">
        <v>2.17</v>
      </c>
      <c r="C8" s="1"/>
      <c r="D8" s="1"/>
      <c r="E8" s="1" t="s">
        <v>99</v>
      </c>
      <c r="F8" s="2">
        <v>13.88</v>
      </c>
      <c r="G8" s="1"/>
      <c r="H8" s="4"/>
    </row>
    <row r="9" spans="1:8" x14ac:dyDescent="0.15">
      <c r="A9" s="3" t="s">
        <v>54</v>
      </c>
      <c r="B9" s="2">
        <v>3.59</v>
      </c>
      <c r="C9" s="1"/>
      <c r="D9" s="1"/>
      <c r="E9" s="1" t="s">
        <v>45</v>
      </c>
      <c r="F9" s="2">
        <v>3.24</v>
      </c>
      <c r="G9" s="1"/>
      <c r="H9" s="4"/>
    </row>
    <row r="10" spans="1:8" x14ac:dyDescent="0.15">
      <c r="A10" s="3" t="s">
        <v>107</v>
      </c>
      <c r="B10" s="2">
        <f>('2015'!B10*Faktor!$B$5)+'2016'!B10</f>
        <v>1.4350229400000001</v>
      </c>
      <c r="C10" s="1"/>
      <c r="D10" s="1"/>
      <c r="E10" s="1" t="s">
        <v>46</v>
      </c>
      <c r="F10" s="2">
        <v>12.3</v>
      </c>
      <c r="G10" s="1"/>
      <c r="H10" s="4"/>
    </row>
    <row r="11" spans="1:8" x14ac:dyDescent="0.15">
      <c r="A11" s="3" t="s">
        <v>6</v>
      </c>
      <c r="B11" s="2">
        <v>15.09</v>
      </c>
      <c r="C11" s="1"/>
      <c r="D11" s="1"/>
      <c r="E11" s="1" t="s">
        <v>96</v>
      </c>
      <c r="F11" s="2">
        <v>3.24</v>
      </c>
      <c r="G11" s="1"/>
      <c r="H11" s="4"/>
    </row>
    <row r="12" spans="1:8" x14ac:dyDescent="0.15">
      <c r="A12" s="3" t="s">
        <v>7</v>
      </c>
      <c r="B12" s="2">
        <v>15.09</v>
      </c>
      <c r="C12" s="1"/>
      <c r="D12" s="1"/>
      <c r="E12" s="1" t="s">
        <v>48</v>
      </c>
      <c r="F12" s="2">
        <v>11.57</v>
      </c>
      <c r="G12" s="1"/>
      <c r="H12" s="4"/>
    </row>
    <row r="13" spans="1:8" x14ac:dyDescent="0.15">
      <c r="A13" s="3" t="s">
        <v>8</v>
      </c>
      <c r="B13" s="2">
        <v>15.09</v>
      </c>
      <c r="C13" s="1"/>
      <c r="D13" s="1"/>
      <c r="E13" s="1" t="s">
        <v>94</v>
      </c>
      <c r="F13" s="2">
        <v>3.24</v>
      </c>
      <c r="G13" s="1"/>
      <c r="H13" s="4"/>
    </row>
    <row r="14" spans="1:8" x14ac:dyDescent="0.15">
      <c r="A14" s="3" t="s">
        <v>9</v>
      </c>
      <c r="B14" s="2">
        <v>15.09</v>
      </c>
      <c r="C14" s="1"/>
      <c r="D14" s="1"/>
      <c r="E14" s="1" t="s">
        <v>49</v>
      </c>
      <c r="F14" s="2">
        <v>3.24</v>
      </c>
      <c r="G14" s="1"/>
      <c r="H14" s="4"/>
    </row>
    <row r="15" spans="1:8" x14ac:dyDescent="0.15">
      <c r="A15" s="3" t="s">
        <v>10</v>
      </c>
      <c r="B15" s="2">
        <v>15.09</v>
      </c>
      <c r="C15" s="1"/>
      <c r="D15" s="1"/>
      <c r="E15" s="1" t="s">
        <v>50</v>
      </c>
      <c r="F15" s="2">
        <v>3.24</v>
      </c>
      <c r="G15" s="1"/>
      <c r="H15" s="4"/>
    </row>
    <row r="16" spans="1:8" x14ac:dyDescent="0.15">
      <c r="A16" s="22" t="s">
        <v>103</v>
      </c>
      <c r="B16" s="2">
        <v>2.2400000000000002</v>
      </c>
      <c r="C16" s="1"/>
      <c r="D16" s="1"/>
      <c r="E16" s="1" t="s">
        <v>51</v>
      </c>
      <c r="F16" s="2">
        <v>3.24</v>
      </c>
      <c r="G16" s="1"/>
      <c r="H16" s="4"/>
    </row>
    <row r="17" spans="1:8" x14ac:dyDescent="0.15">
      <c r="A17" s="3" t="s">
        <v>11</v>
      </c>
      <c r="B17" s="2">
        <v>5.16</v>
      </c>
      <c r="C17" s="1"/>
      <c r="D17" s="1"/>
      <c r="E17" s="1" t="s">
        <v>52</v>
      </c>
      <c r="F17" s="2">
        <v>3.24</v>
      </c>
      <c r="G17" s="1"/>
      <c r="H17" s="4"/>
    </row>
    <row r="18" spans="1:8" x14ac:dyDescent="0.15">
      <c r="A18" s="3" t="s">
        <v>12</v>
      </c>
      <c r="B18" s="2">
        <v>5.16</v>
      </c>
      <c r="C18" s="1"/>
      <c r="D18" s="1"/>
      <c r="E18" s="1" t="s">
        <v>53</v>
      </c>
      <c r="F18" s="2">
        <v>3.24</v>
      </c>
      <c r="G18" s="1"/>
      <c r="H18" s="4"/>
    </row>
    <row r="19" spans="1:8" x14ac:dyDescent="0.15">
      <c r="A19" s="3" t="s">
        <v>13</v>
      </c>
      <c r="B19" s="2">
        <v>5.16</v>
      </c>
      <c r="C19" s="1"/>
      <c r="D19" s="1"/>
      <c r="E19" s="1" t="s">
        <v>85</v>
      </c>
      <c r="F19" s="2">
        <v>4.47</v>
      </c>
      <c r="G19" s="1"/>
      <c r="H19" s="4"/>
    </row>
    <row r="20" spans="1:8" x14ac:dyDescent="0.15">
      <c r="A20" s="3" t="s">
        <v>14</v>
      </c>
      <c r="B20" s="2">
        <v>5.16</v>
      </c>
      <c r="C20" s="1"/>
      <c r="D20" s="1"/>
      <c r="E20" s="1" t="s">
        <v>86</v>
      </c>
      <c r="F20" s="2">
        <v>8.94</v>
      </c>
      <c r="G20" s="1"/>
      <c r="H20" s="4"/>
    </row>
    <row r="21" spans="1:8" x14ac:dyDescent="0.15">
      <c r="A21" s="3" t="s">
        <v>15</v>
      </c>
      <c r="B21" s="2">
        <v>5.16</v>
      </c>
      <c r="C21" s="1"/>
      <c r="D21" s="1"/>
      <c r="E21" s="1" t="s">
        <v>89</v>
      </c>
      <c r="F21" s="2">
        <v>13.41</v>
      </c>
      <c r="G21" s="1"/>
      <c r="H21" s="4"/>
    </row>
    <row r="22" spans="1:8" x14ac:dyDescent="0.15">
      <c r="A22" s="3" t="s">
        <v>16</v>
      </c>
      <c r="B22" s="2">
        <v>5.16</v>
      </c>
      <c r="C22" s="1"/>
      <c r="D22" s="1"/>
      <c r="E22" s="1" t="s">
        <v>87</v>
      </c>
      <c r="F22" s="2">
        <v>17.88</v>
      </c>
      <c r="G22" s="1"/>
      <c r="H22" s="4"/>
    </row>
    <row r="23" spans="1:8" x14ac:dyDescent="0.15">
      <c r="A23" s="3" t="s">
        <v>17</v>
      </c>
      <c r="B23" s="2">
        <v>3.88</v>
      </c>
      <c r="C23" s="1"/>
      <c r="D23" s="1"/>
      <c r="E23" s="1" t="s">
        <v>90</v>
      </c>
      <c r="F23" s="2">
        <v>22.35</v>
      </c>
      <c r="G23" s="1"/>
      <c r="H23" s="4"/>
    </row>
    <row r="24" spans="1:8" x14ac:dyDescent="0.15">
      <c r="A24" s="3" t="s">
        <v>18</v>
      </c>
      <c r="B24" s="2">
        <v>3.88</v>
      </c>
      <c r="C24" s="1"/>
      <c r="D24" s="1"/>
      <c r="E24" s="1" t="s">
        <v>88</v>
      </c>
      <c r="F24" s="2">
        <v>26.82</v>
      </c>
      <c r="G24" s="1"/>
      <c r="H24" s="4"/>
    </row>
    <row r="25" spans="1:8" x14ac:dyDescent="0.15">
      <c r="A25" s="3" t="s">
        <v>19</v>
      </c>
      <c r="B25" s="2">
        <v>3.88</v>
      </c>
      <c r="C25" s="1"/>
      <c r="D25" s="1"/>
      <c r="E25" s="51" t="s">
        <v>97</v>
      </c>
      <c r="F25" s="2">
        <v>6.66</v>
      </c>
      <c r="G25" s="1"/>
      <c r="H25" s="4"/>
    </row>
    <row r="26" spans="1:8" x14ac:dyDescent="0.15">
      <c r="A26" s="3" t="s">
        <v>112</v>
      </c>
      <c r="B26" s="2">
        <v>3.88</v>
      </c>
      <c r="C26" s="1"/>
      <c r="D26" s="1"/>
      <c r="E26" s="51" t="s">
        <v>81</v>
      </c>
      <c r="F26" s="2">
        <v>8.33</v>
      </c>
      <c r="G26" s="1"/>
      <c r="H26" s="4"/>
    </row>
    <row r="27" spans="1:8" x14ac:dyDescent="0.15">
      <c r="A27" s="3" t="s">
        <v>20</v>
      </c>
      <c r="B27" s="2">
        <v>3.88</v>
      </c>
      <c r="C27" s="1"/>
      <c r="D27" s="1"/>
      <c r="E27" s="1" t="s">
        <v>106</v>
      </c>
      <c r="F27" s="2">
        <f>('2016'!F27*Faktor!$B$5)+'2016'!F27</f>
        <v>8.2454626799999993</v>
      </c>
      <c r="G27" s="1"/>
      <c r="H27" s="4"/>
    </row>
    <row r="28" spans="1:8" x14ac:dyDescent="0.15">
      <c r="A28" s="3" t="s">
        <v>21</v>
      </c>
      <c r="B28" s="2">
        <v>8.18</v>
      </c>
      <c r="C28" s="1"/>
      <c r="D28" s="1"/>
      <c r="E28" s="1" t="s">
        <v>121</v>
      </c>
      <c r="F28" s="2">
        <v>5</v>
      </c>
      <c r="G28" s="1"/>
      <c r="H28" s="4"/>
    </row>
    <row r="29" spans="1:8" x14ac:dyDescent="0.15">
      <c r="A29" s="3" t="s">
        <v>22</v>
      </c>
      <c r="B29" s="2">
        <v>8.18</v>
      </c>
      <c r="C29" s="1"/>
      <c r="D29" s="1"/>
      <c r="E29" s="1" t="s">
        <v>110</v>
      </c>
      <c r="F29" s="2">
        <v>3.35</v>
      </c>
      <c r="G29" s="1"/>
      <c r="H29" s="4"/>
    </row>
    <row r="30" spans="1:8" x14ac:dyDescent="0.15">
      <c r="A30" s="22" t="s">
        <v>119</v>
      </c>
      <c r="B30" s="2">
        <v>8.18</v>
      </c>
      <c r="C30" s="1"/>
      <c r="D30" s="1"/>
      <c r="E30" s="1" t="s">
        <v>82</v>
      </c>
      <c r="F30" s="2">
        <v>41.65</v>
      </c>
      <c r="G30" s="1"/>
      <c r="H30" s="4"/>
    </row>
    <row r="31" spans="1:8" x14ac:dyDescent="0.15">
      <c r="A31" s="3" t="s">
        <v>104</v>
      </c>
      <c r="B31" s="2">
        <v>5.16</v>
      </c>
      <c r="C31" s="1"/>
      <c r="D31" s="1"/>
      <c r="E31" s="1" t="s">
        <v>83</v>
      </c>
      <c r="F31" s="2">
        <v>10.42</v>
      </c>
      <c r="G31" s="1"/>
      <c r="H31" s="4"/>
    </row>
    <row r="32" spans="1:8" x14ac:dyDescent="0.15">
      <c r="A32" s="3" t="s">
        <v>105</v>
      </c>
      <c r="B32" s="2">
        <v>3.88</v>
      </c>
      <c r="C32" s="1"/>
      <c r="D32" s="1"/>
      <c r="E32" s="1" t="s">
        <v>55</v>
      </c>
      <c r="F32" s="2">
        <f>('2016'!F32*Faktor!$B$5)+'2016'!F32</f>
        <v>20.409813983519999</v>
      </c>
      <c r="G32" s="1"/>
      <c r="H32" s="4"/>
    </row>
    <row r="33" spans="1:8" x14ac:dyDescent="0.15">
      <c r="A33" s="3" t="s">
        <v>23</v>
      </c>
      <c r="B33" s="2">
        <v>3.67</v>
      </c>
      <c r="C33" s="1"/>
      <c r="D33" s="1"/>
      <c r="E33" s="1" t="s">
        <v>56</v>
      </c>
      <c r="F33" s="2">
        <f>('2016'!F33*Faktor!$B$5)+'2016'!F33</f>
        <v>2.7764890686000001</v>
      </c>
      <c r="G33" s="1"/>
      <c r="H33" s="4"/>
    </row>
    <row r="34" spans="1:8" x14ac:dyDescent="0.15">
      <c r="A34" s="3" t="s">
        <v>24</v>
      </c>
      <c r="B34" s="2">
        <v>3.67</v>
      </c>
      <c r="C34" s="1"/>
      <c r="D34" s="1"/>
      <c r="E34" s="1" t="s">
        <v>57</v>
      </c>
      <c r="F34" s="2">
        <f>('2016'!F34*Faktor!$B$5)+'2016'!F34</f>
        <v>7.6798735369199997</v>
      </c>
      <c r="G34" s="1"/>
      <c r="H34" s="4"/>
    </row>
    <row r="35" spans="1:8" x14ac:dyDescent="0.15">
      <c r="A35" s="3" t="s">
        <v>64</v>
      </c>
      <c r="B35" s="2">
        <f>('2015'!B34*Faktor!$B$5)+'2016'!B34</f>
        <v>2.3734900800000003</v>
      </c>
      <c r="C35" s="1"/>
      <c r="D35" s="1"/>
      <c r="E35" s="1" t="s">
        <v>58</v>
      </c>
      <c r="F35" s="2">
        <f>('2016'!F35*Faktor!$B$5)+'2016'!F35</f>
        <v>7.6798735369199997</v>
      </c>
      <c r="G35" s="1"/>
      <c r="H35" s="4"/>
    </row>
    <row r="36" spans="1:8" x14ac:dyDescent="0.15">
      <c r="A36" s="3" t="s">
        <v>25</v>
      </c>
      <c r="B36" s="2">
        <v>5.9</v>
      </c>
      <c r="C36" s="1"/>
      <c r="D36" s="1"/>
      <c r="E36" s="1" t="s">
        <v>59</v>
      </c>
      <c r="F36" s="2">
        <v>36.4</v>
      </c>
      <c r="G36" s="1"/>
      <c r="H36" s="4"/>
    </row>
    <row r="37" spans="1:8" x14ac:dyDescent="0.15">
      <c r="A37" s="3" t="s">
        <v>26</v>
      </c>
      <c r="B37" s="2">
        <v>5.9</v>
      </c>
      <c r="C37" s="1"/>
      <c r="D37" s="1"/>
      <c r="E37" s="1" t="s">
        <v>60</v>
      </c>
      <c r="F37" s="2">
        <v>31.64</v>
      </c>
      <c r="G37" s="1"/>
      <c r="H37" s="4"/>
    </row>
    <row r="38" spans="1:8" x14ac:dyDescent="0.15">
      <c r="A38" s="3" t="s">
        <v>27</v>
      </c>
      <c r="B38" s="2">
        <v>2.5299999999999998</v>
      </c>
      <c r="C38" s="1"/>
      <c r="D38" s="1"/>
      <c r="E38" s="1" t="s">
        <v>61</v>
      </c>
      <c r="F38" s="2">
        <v>31.64</v>
      </c>
      <c r="G38" s="1"/>
      <c r="H38" s="4"/>
    </row>
    <row r="39" spans="1:8" x14ac:dyDescent="0.15">
      <c r="A39" s="3" t="s">
        <v>28</v>
      </c>
      <c r="B39" s="2">
        <v>2.5299999999999998</v>
      </c>
      <c r="C39" s="1"/>
      <c r="D39" s="1"/>
      <c r="E39" s="1" t="s">
        <v>102</v>
      </c>
      <c r="F39" s="2">
        <v>12.26</v>
      </c>
      <c r="G39" s="1"/>
      <c r="H39" s="4"/>
    </row>
    <row r="40" spans="1:8" x14ac:dyDescent="0.15">
      <c r="A40" s="3" t="s">
        <v>29</v>
      </c>
      <c r="B40" s="2">
        <v>2.5299999999999998</v>
      </c>
      <c r="C40" s="1"/>
      <c r="D40" s="1"/>
      <c r="E40" s="1" t="s">
        <v>63</v>
      </c>
      <c r="F40" s="2">
        <v>2.31</v>
      </c>
      <c r="G40" s="1"/>
      <c r="H40" s="4"/>
    </row>
    <row r="41" spans="1:8" x14ac:dyDescent="0.15">
      <c r="A41" s="3" t="s">
        <v>30</v>
      </c>
      <c r="B41" s="2">
        <v>2.5299999999999998</v>
      </c>
      <c r="C41" s="1"/>
      <c r="D41" s="1"/>
      <c r="E41" s="1" t="s">
        <v>62</v>
      </c>
      <c r="F41" s="2">
        <v>5.56</v>
      </c>
      <c r="G41" s="1"/>
      <c r="H41" s="4"/>
    </row>
    <row r="42" spans="1:8" x14ac:dyDescent="0.15">
      <c r="A42" s="3" t="s">
        <v>31</v>
      </c>
      <c r="B42" s="2">
        <v>2.5299999999999998</v>
      </c>
      <c r="C42" s="1"/>
      <c r="D42" s="1"/>
      <c r="E42" s="1" t="s">
        <v>120</v>
      </c>
      <c r="F42" s="2">
        <v>5.16</v>
      </c>
      <c r="G42" s="1"/>
      <c r="H42" s="4"/>
    </row>
    <row r="43" spans="1:8" x14ac:dyDescent="0.15">
      <c r="A43" s="3" t="s">
        <v>32</v>
      </c>
      <c r="B43" s="2">
        <v>2.5299999999999998</v>
      </c>
      <c r="C43" s="1"/>
      <c r="D43" s="1"/>
      <c r="E43" s="50" t="s">
        <v>114</v>
      </c>
      <c r="F43" s="2">
        <v>245.93</v>
      </c>
      <c r="G43" s="1"/>
      <c r="H43" s="4"/>
    </row>
    <row r="44" spans="1:8" x14ac:dyDescent="0.15">
      <c r="A44" s="3" t="s">
        <v>98</v>
      </c>
      <c r="B44" s="2">
        <v>5.05</v>
      </c>
      <c r="C44" s="1"/>
      <c r="D44" s="1"/>
      <c r="E44" s="50" t="s">
        <v>115</v>
      </c>
      <c r="F44" s="2">
        <v>124.21</v>
      </c>
      <c r="G44" s="1"/>
      <c r="H44" s="4"/>
    </row>
    <row r="45" spans="1:8" x14ac:dyDescent="0.15">
      <c r="A45" s="3" t="s">
        <v>91</v>
      </c>
      <c r="B45" s="2">
        <v>15.09</v>
      </c>
      <c r="C45" s="1"/>
      <c r="D45" s="1"/>
      <c r="E45" s="1"/>
      <c r="F45" s="2"/>
      <c r="G45" s="1"/>
      <c r="H45" s="4"/>
    </row>
    <row r="46" spans="1:8" x14ac:dyDescent="0.15">
      <c r="A46" s="3" t="s">
        <v>92</v>
      </c>
      <c r="B46" s="2">
        <v>15.09</v>
      </c>
      <c r="C46" s="1"/>
      <c r="D46" s="1"/>
      <c r="E46" s="1" t="s">
        <v>108</v>
      </c>
      <c r="F46" s="2">
        <f>('2016'!F46*Faktor!$B$5)+'2016'!F46</f>
        <v>5.5425008199600008</v>
      </c>
      <c r="G46" s="1"/>
      <c r="H46" s="4"/>
    </row>
    <row r="47" spans="1:8" x14ac:dyDescent="0.15">
      <c r="A47" s="3" t="s">
        <v>93</v>
      </c>
      <c r="B47" s="2">
        <v>6.53</v>
      </c>
      <c r="C47" s="1"/>
      <c r="D47" s="1"/>
      <c r="E47" s="1" t="s">
        <v>65</v>
      </c>
      <c r="F47" s="2">
        <v>6.66</v>
      </c>
      <c r="G47" s="1"/>
      <c r="H47" s="4"/>
    </row>
    <row r="48" spans="1:8" x14ac:dyDescent="0.15">
      <c r="A48" s="3" t="s">
        <v>113</v>
      </c>
      <c r="B48" s="2">
        <v>22.36</v>
      </c>
      <c r="C48" s="1"/>
      <c r="D48" s="1"/>
      <c r="E48" s="1" t="s">
        <v>66</v>
      </c>
      <c r="F48" s="2">
        <f>('2016'!F48*Faktor!$B$5)+'2016'!F48</f>
        <v>3.9918578684400003</v>
      </c>
      <c r="G48" s="1"/>
      <c r="H48" s="4"/>
    </row>
    <row r="49" spans="1:8" x14ac:dyDescent="0.15">
      <c r="A49" s="3" t="s">
        <v>33</v>
      </c>
      <c r="B49" s="2">
        <v>15.65</v>
      </c>
      <c r="C49" s="1"/>
      <c r="D49" s="1"/>
      <c r="E49" s="37" t="s">
        <v>84</v>
      </c>
      <c r="F49" s="2">
        <f>('2016'!F49*Faktor!$B$5)+'2016'!F49</f>
        <v>9.8067689366399993</v>
      </c>
      <c r="G49" s="1"/>
      <c r="H49" s="4"/>
    </row>
    <row r="50" spans="1:8" ht="13.5" thickBot="1" x14ac:dyDescent="0.2">
      <c r="A50" s="3" t="s">
        <v>34</v>
      </c>
      <c r="B50" s="2">
        <v>12.3</v>
      </c>
      <c r="C50" s="1"/>
      <c r="D50" s="1"/>
      <c r="E50" s="37"/>
      <c r="F50" s="52"/>
      <c r="G50" s="37"/>
      <c r="H50" s="39"/>
    </row>
    <row r="51" spans="1:8" x14ac:dyDescent="0.15">
      <c r="A51" s="3" t="s">
        <v>35</v>
      </c>
      <c r="B51" s="2">
        <v>8.9600000000000009</v>
      </c>
      <c r="C51" s="1"/>
      <c r="D51" s="35"/>
      <c r="E51" s="21" t="s">
        <v>101</v>
      </c>
      <c r="F51" s="48"/>
      <c r="G51" s="9"/>
      <c r="H51" s="11"/>
    </row>
    <row r="52" spans="1:8" x14ac:dyDescent="0.15">
      <c r="A52" s="3" t="s">
        <v>36</v>
      </c>
      <c r="B52" s="2">
        <v>5.0999999999999996</v>
      </c>
      <c r="C52" s="1"/>
      <c r="D52" s="35"/>
      <c r="E52" s="3" t="s">
        <v>67</v>
      </c>
      <c r="F52" s="2"/>
      <c r="G52" s="1"/>
      <c r="H52" s="4"/>
    </row>
    <row r="53" spans="1:8" x14ac:dyDescent="0.15">
      <c r="A53" s="3" t="s">
        <v>37</v>
      </c>
      <c r="B53" s="2">
        <v>5.0999999999999996</v>
      </c>
      <c r="C53" s="1"/>
      <c r="D53" s="35"/>
      <c r="E53" s="3" t="s">
        <v>68</v>
      </c>
      <c r="F53" s="2">
        <f>('2016'!F53*Faktor!$B$5)+'2016'!F53</f>
        <v>2.7869663858400004</v>
      </c>
      <c r="G53" s="1"/>
      <c r="H53" s="4"/>
    </row>
    <row r="54" spans="1:8" x14ac:dyDescent="0.15">
      <c r="A54" s="3" t="s">
        <v>38</v>
      </c>
      <c r="B54" s="2">
        <v>5.0999999999999996</v>
      </c>
      <c r="C54" s="1"/>
      <c r="D54" s="35"/>
      <c r="E54" s="3" t="s">
        <v>80</v>
      </c>
      <c r="F54" s="2"/>
      <c r="G54" s="1"/>
      <c r="H54" s="4"/>
    </row>
    <row r="55" spans="1:8" x14ac:dyDescent="0.15">
      <c r="A55" s="3" t="s">
        <v>39</v>
      </c>
      <c r="B55" s="2">
        <v>5.0999999999999996</v>
      </c>
      <c r="C55" s="1"/>
      <c r="D55" s="35"/>
      <c r="E55" s="3"/>
      <c r="F55" s="2"/>
      <c r="G55" s="1"/>
      <c r="H55" s="4"/>
    </row>
    <row r="56" spans="1:8" x14ac:dyDescent="0.15">
      <c r="A56" s="3" t="s">
        <v>40</v>
      </c>
      <c r="B56" s="2">
        <v>5.0999999999999996</v>
      </c>
      <c r="C56" s="1"/>
      <c r="D56" s="35"/>
      <c r="E56" s="3" t="s">
        <v>69</v>
      </c>
      <c r="F56" s="2">
        <v>58.13</v>
      </c>
      <c r="G56" s="1"/>
      <c r="H56" s="4"/>
    </row>
    <row r="57" spans="1:8" x14ac:dyDescent="0.15">
      <c r="A57" s="3" t="s">
        <v>41</v>
      </c>
      <c r="B57" s="2">
        <v>22.72</v>
      </c>
      <c r="C57" s="1"/>
      <c r="D57" s="35"/>
      <c r="E57" s="3" t="s">
        <v>70</v>
      </c>
      <c r="F57" s="2">
        <f>('2016'!F57*Faktor!$B$5)+'2016'!F57</f>
        <v>1.70780271012</v>
      </c>
      <c r="G57" s="1"/>
      <c r="H57" s="4"/>
    </row>
    <row r="58" spans="1:8" x14ac:dyDescent="0.15">
      <c r="A58" s="3" t="s">
        <v>42</v>
      </c>
      <c r="B58" s="2">
        <v>22.72</v>
      </c>
      <c r="C58" s="1"/>
      <c r="D58" s="35"/>
      <c r="E58" s="3" t="s">
        <v>71</v>
      </c>
      <c r="F58" s="2"/>
      <c r="G58" s="1"/>
      <c r="H58" s="4"/>
    </row>
    <row r="59" spans="1:8" x14ac:dyDescent="0.15">
      <c r="A59" s="3" t="s">
        <v>100</v>
      </c>
      <c r="B59" s="2">
        <v>22.72</v>
      </c>
      <c r="C59" s="1"/>
      <c r="D59" s="35"/>
      <c r="E59" s="3" t="s">
        <v>72</v>
      </c>
      <c r="F59" s="2"/>
      <c r="G59" s="1"/>
      <c r="H59" s="4"/>
    </row>
    <row r="60" spans="1:8" ht="13.5" thickBot="1" x14ac:dyDescent="0.2">
      <c r="A60" s="5" t="s">
        <v>43</v>
      </c>
      <c r="B60" s="2">
        <v>22.72</v>
      </c>
      <c r="C60" s="6"/>
      <c r="D60" s="36"/>
      <c r="E60" s="5"/>
      <c r="F60" s="6"/>
      <c r="G60" s="6"/>
      <c r="H60" s="7"/>
    </row>
  </sheetData>
  <mergeCells count="1">
    <mergeCell ref="A1:H1"/>
  </mergeCells>
  <pageMargins left="0.9055118110236221" right="0.51181102362204722" top="0.35433070866141736" bottom="0.35433070866141736" header="0.31496062992125984" footer="0.31496062992125984"/>
  <pageSetup paperSize="9"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A26B-C4DA-4B88-A9EB-7B5E25BAA2B3}">
  <dimension ref="A1:H60"/>
  <sheetViews>
    <sheetView topLeftCell="A38" workbookViewId="0">
      <selection activeCell="A60" sqref="A7:A60"/>
    </sheetView>
  </sheetViews>
  <sheetFormatPr defaultColWidth="8.8984375" defaultRowHeight="12.75" x14ac:dyDescent="0.15"/>
  <cols>
    <col min="1" max="1" width="18.33984375" customWidth="1"/>
    <col min="2" max="4" width="8.8984375" customWidth="1"/>
    <col min="5" max="5" width="17.125" customWidth="1"/>
  </cols>
  <sheetData>
    <row r="1" spans="1:8" ht="18.75" thickBot="1" x14ac:dyDescent="0.25">
      <c r="D1" s="46"/>
      <c r="E1" s="47" t="s">
        <v>117</v>
      </c>
    </row>
    <row r="2" spans="1:8" x14ac:dyDescent="0.15">
      <c r="A2" s="17" t="s">
        <v>0</v>
      </c>
      <c r="B2" s="25"/>
      <c r="C2" s="26"/>
      <c r="D2" s="27"/>
      <c r="E2" s="31" t="s">
        <v>76</v>
      </c>
      <c r="F2" s="21"/>
      <c r="G2" s="9"/>
      <c r="H2" s="11"/>
    </row>
    <row r="3" spans="1:8" x14ac:dyDescent="0.15">
      <c r="A3" s="16" t="s">
        <v>1</v>
      </c>
      <c r="B3" s="18"/>
      <c r="C3" s="19"/>
      <c r="D3" s="20"/>
      <c r="E3" s="32" t="s">
        <v>77</v>
      </c>
      <c r="F3" s="3"/>
      <c r="G3" s="1"/>
      <c r="H3" s="4"/>
    </row>
    <row r="4" spans="1:8" x14ac:dyDescent="0.15">
      <c r="A4" s="16" t="s">
        <v>2</v>
      </c>
      <c r="B4" s="18"/>
      <c r="C4" s="19"/>
      <c r="D4" s="20"/>
      <c r="E4" s="32" t="s">
        <v>78</v>
      </c>
      <c r="F4" s="3"/>
      <c r="G4" s="1"/>
      <c r="H4" s="4"/>
    </row>
    <row r="5" spans="1:8" ht="13.5" thickBot="1" x14ac:dyDescent="0.2">
      <c r="A5" s="23" t="s">
        <v>3</v>
      </c>
      <c r="B5" s="28"/>
      <c r="C5" s="29"/>
      <c r="D5" s="30"/>
      <c r="E5" s="33" t="s">
        <v>79</v>
      </c>
      <c r="F5" s="5"/>
      <c r="G5" s="6"/>
      <c r="H5" s="7"/>
    </row>
    <row r="6" spans="1:8" x14ac:dyDescent="0.15">
      <c r="A6" s="21"/>
      <c r="B6" s="14" t="s">
        <v>73</v>
      </c>
      <c r="C6" s="14" t="s">
        <v>74</v>
      </c>
      <c r="D6" s="14" t="s">
        <v>75</v>
      </c>
      <c r="E6" s="9"/>
      <c r="F6" s="14" t="s">
        <v>73</v>
      </c>
      <c r="G6" s="14" t="s">
        <v>74</v>
      </c>
      <c r="H6" s="15" t="s">
        <v>75</v>
      </c>
    </row>
    <row r="7" spans="1:8" x14ac:dyDescent="0.15">
      <c r="A7" s="3" t="s">
        <v>4</v>
      </c>
      <c r="B7" s="2">
        <f>('2017'!B7*Faktor!$B$6)+'2017'!B7</f>
        <v>2.21123</v>
      </c>
      <c r="C7" s="1"/>
      <c r="D7" s="1"/>
      <c r="E7" s="1" t="s">
        <v>47</v>
      </c>
      <c r="F7" s="2">
        <f>('2017'!F7*Faktor!$B$6)+'2017'!F7</f>
        <v>12.533700000000001</v>
      </c>
      <c r="G7" s="1"/>
      <c r="H7" s="4"/>
    </row>
    <row r="8" spans="1:8" x14ac:dyDescent="0.15">
      <c r="A8" s="3" t="s">
        <v>5</v>
      </c>
      <c r="B8" s="2">
        <f>('2017'!B8*Faktor!$B$6)+'2017'!B8</f>
        <v>2.21123</v>
      </c>
      <c r="C8" s="1"/>
      <c r="D8" s="1"/>
      <c r="E8" s="1" t="s">
        <v>99</v>
      </c>
      <c r="F8" s="2">
        <f>('2017'!F8*Faktor!$B$6)+'2017'!F8</f>
        <v>14.14372</v>
      </c>
      <c r="G8" s="1"/>
      <c r="H8" s="4"/>
    </row>
    <row r="9" spans="1:8" x14ac:dyDescent="0.15">
      <c r="A9" s="3" t="s">
        <v>54</v>
      </c>
      <c r="B9" s="2">
        <f>('2017'!B9*Faktor!$B$6)+'2017'!B9</f>
        <v>3.65821</v>
      </c>
      <c r="C9" s="1"/>
      <c r="D9" s="1"/>
      <c r="E9" s="1" t="s">
        <v>45</v>
      </c>
      <c r="F9" s="2">
        <f>('2017'!F9*Faktor!$B$6)+'2017'!F9</f>
        <v>3.3015600000000003</v>
      </c>
      <c r="G9" s="1"/>
      <c r="H9" s="4"/>
    </row>
    <row r="10" spans="1:8" x14ac:dyDescent="0.15">
      <c r="A10" s="3" t="s">
        <v>107</v>
      </c>
      <c r="B10" s="2">
        <v>1.47</v>
      </c>
      <c r="C10" s="1"/>
      <c r="D10" s="1"/>
      <c r="E10" s="1" t="s">
        <v>46</v>
      </c>
      <c r="F10" s="2">
        <f>('2017'!F10*Faktor!$B$6)+'2017'!F10</f>
        <v>12.533700000000001</v>
      </c>
      <c r="G10" s="1"/>
      <c r="H10" s="4"/>
    </row>
    <row r="11" spans="1:8" x14ac:dyDescent="0.15">
      <c r="A11" s="3" t="s">
        <v>6</v>
      </c>
      <c r="B11" s="2">
        <f>('2017'!B11*Faktor!$B$6)+'2017'!B11</f>
        <v>15.376709999999999</v>
      </c>
      <c r="C11" s="1"/>
      <c r="D11" s="1"/>
      <c r="E11" s="1" t="s">
        <v>96</v>
      </c>
      <c r="F11" s="2">
        <f>('2017'!F11*Faktor!$B$6)+'2017'!F11</f>
        <v>3.3015600000000003</v>
      </c>
      <c r="G11" s="1"/>
      <c r="H11" s="4"/>
    </row>
    <row r="12" spans="1:8" x14ac:dyDescent="0.15">
      <c r="A12" s="3" t="s">
        <v>7</v>
      </c>
      <c r="B12" s="2">
        <f>('2017'!B12*Faktor!$B$6)+'2017'!B12</f>
        <v>15.376709999999999</v>
      </c>
      <c r="C12" s="1"/>
      <c r="D12" s="1"/>
      <c r="E12" s="1" t="s">
        <v>48</v>
      </c>
      <c r="F12" s="2">
        <f>('2017'!F12*Faktor!$B$6)+'2017'!F12</f>
        <v>11.78983</v>
      </c>
      <c r="G12" s="1"/>
      <c r="H12" s="4"/>
    </row>
    <row r="13" spans="1:8" x14ac:dyDescent="0.15">
      <c r="A13" s="3" t="s">
        <v>8</v>
      </c>
      <c r="B13" s="2">
        <f>('2017'!B13*Faktor!$B$6)+'2017'!B13</f>
        <v>15.376709999999999</v>
      </c>
      <c r="C13" s="1"/>
      <c r="D13" s="1"/>
      <c r="E13" s="1" t="s">
        <v>94</v>
      </c>
      <c r="F13" s="2">
        <f>('2017'!F13*Faktor!$B$6)+'2017'!F13</f>
        <v>3.3015600000000003</v>
      </c>
      <c r="G13" s="1"/>
      <c r="H13" s="4"/>
    </row>
    <row r="14" spans="1:8" x14ac:dyDescent="0.15">
      <c r="A14" s="3" t="s">
        <v>9</v>
      </c>
      <c r="B14" s="2">
        <f>('2017'!B14*Faktor!$B$6)+'2017'!B14</f>
        <v>15.376709999999999</v>
      </c>
      <c r="C14" s="1"/>
      <c r="D14" s="1"/>
      <c r="E14" s="1" t="s">
        <v>49</v>
      </c>
      <c r="F14" s="2">
        <f>('2017'!F14*Faktor!$B$6)+'2017'!F14</f>
        <v>3.3015600000000003</v>
      </c>
      <c r="G14" s="1"/>
      <c r="H14" s="4"/>
    </row>
    <row r="15" spans="1:8" x14ac:dyDescent="0.15">
      <c r="A15" s="3" t="s">
        <v>10</v>
      </c>
      <c r="B15" s="2">
        <f>('2017'!B15*Faktor!$B$6)+'2017'!B15</f>
        <v>15.376709999999999</v>
      </c>
      <c r="C15" s="1"/>
      <c r="D15" s="1"/>
      <c r="E15" s="1" t="s">
        <v>50</v>
      </c>
      <c r="F15" s="2">
        <f>('2017'!F15*Faktor!$B$6)+'2017'!F15</f>
        <v>3.3015600000000003</v>
      </c>
      <c r="G15" s="1"/>
      <c r="H15" s="4"/>
    </row>
    <row r="16" spans="1:8" x14ac:dyDescent="0.15">
      <c r="A16" s="22" t="s">
        <v>103</v>
      </c>
      <c r="B16" s="2">
        <f>('2017'!B16*Faktor!$B$6)+'2017'!B16</f>
        <v>2.2825600000000001</v>
      </c>
      <c r="C16" s="1"/>
      <c r="D16" s="1"/>
      <c r="E16" s="1" t="s">
        <v>51</v>
      </c>
      <c r="F16" s="2">
        <f>('2017'!F16*Faktor!$B$6)+'2017'!F16</f>
        <v>3.3015600000000003</v>
      </c>
      <c r="G16" s="1"/>
      <c r="H16" s="4"/>
    </row>
    <row r="17" spans="1:8" x14ac:dyDescent="0.15">
      <c r="A17" s="3" t="s">
        <v>11</v>
      </c>
      <c r="B17" s="2">
        <f>('2017'!B17*Faktor!$B$6)+'2017'!B17</f>
        <v>5.2580400000000003</v>
      </c>
      <c r="C17" s="1"/>
      <c r="D17" s="1"/>
      <c r="E17" s="1" t="s">
        <v>52</v>
      </c>
      <c r="F17" s="2">
        <f>('2017'!F17*Faktor!$B$6)+'2017'!F17</f>
        <v>3.3015600000000003</v>
      </c>
      <c r="G17" s="1"/>
      <c r="H17" s="4"/>
    </row>
    <row r="18" spans="1:8" x14ac:dyDescent="0.15">
      <c r="A18" s="3" t="s">
        <v>12</v>
      </c>
      <c r="B18" s="2">
        <f>('2017'!B18*Faktor!$B$6)+'2017'!B18</f>
        <v>5.2580400000000003</v>
      </c>
      <c r="C18" s="1"/>
      <c r="D18" s="1"/>
      <c r="E18" s="1" t="s">
        <v>53</v>
      </c>
      <c r="F18" s="2">
        <f>('2017'!F18*Faktor!$B$6)+'2017'!F18</f>
        <v>3.3015600000000003</v>
      </c>
      <c r="G18" s="1"/>
      <c r="H18" s="4"/>
    </row>
    <row r="19" spans="1:8" x14ac:dyDescent="0.15">
      <c r="A19" s="3" t="s">
        <v>13</v>
      </c>
      <c r="B19" s="2">
        <f>('2017'!B19*Faktor!$B$6)+'2017'!B19</f>
        <v>5.2580400000000003</v>
      </c>
      <c r="C19" s="1"/>
      <c r="D19" s="1"/>
      <c r="E19" s="1" t="s">
        <v>85</v>
      </c>
      <c r="F19" s="2">
        <f>('2017'!F19*Faktor!$B$6)+'2017'!F19</f>
        <v>4.5549299999999997</v>
      </c>
      <c r="G19" s="1"/>
      <c r="H19" s="4"/>
    </row>
    <row r="20" spans="1:8" x14ac:dyDescent="0.15">
      <c r="A20" s="3" t="s">
        <v>14</v>
      </c>
      <c r="B20" s="2">
        <f>('2017'!B20*Faktor!$B$6)+'2017'!B20</f>
        <v>5.2580400000000003</v>
      </c>
      <c r="C20" s="1"/>
      <c r="D20" s="1"/>
      <c r="E20" s="1" t="s">
        <v>86</v>
      </c>
      <c r="F20" s="2">
        <f>('2017'!F20*Faktor!$B$6)+'2017'!F20</f>
        <v>9.1098599999999994</v>
      </c>
      <c r="G20" s="1"/>
      <c r="H20" s="4"/>
    </row>
    <row r="21" spans="1:8" x14ac:dyDescent="0.15">
      <c r="A21" s="3" t="s">
        <v>15</v>
      </c>
      <c r="B21" s="2">
        <f>('2017'!B21*Faktor!$B$6)+'2017'!B21</f>
        <v>5.2580400000000003</v>
      </c>
      <c r="C21" s="1"/>
      <c r="D21" s="1"/>
      <c r="E21" s="1" t="s">
        <v>89</v>
      </c>
      <c r="F21" s="2">
        <f>('2017'!F21*Faktor!$B$6)+'2017'!F21</f>
        <v>13.66479</v>
      </c>
      <c r="G21" s="1"/>
      <c r="H21" s="4"/>
    </row>
    <row r="22" spans="1:8" x14ac:dyDescent="0.15">
      <c r="A22" s="3" t="s">
        <v>16</v>
      </c>
      <c r="B22" s="2">
        <f>('2017'!B22*Faktor!$B$6)+'2017'!B22</f>
        <v>5.2580400000000003</v>
      </c>
      <c r="C22" s="1"/>
      <c r="D22" s="1"/>
      <c r="E22" s="1" t="s">
        <v>87</v>
      </c>
      <c r="F22" s="2">
        <f>('2017'!F22*Faktor!$B$6)+'2017'!F22</f>
        <v>18.219719999999999</v>
      </c>
      <c r="G22" s="1"/>
      <c r="H22" s="4"/>
    </row>
    <row r="23" spans="1:8" x14ac:dyDescent="0.15">
      <c r="A23" s="3" t="s">
        <v>17</v>
      </c>
      <c r="B23" s="2">
        <f>('2017'!B23*Faktor!$B$6)+'2017'!B23</f>
        <v>3.9537199999999997</v>
      </c>
      <c r="C23" s="1"/>
      <c r="D23" s="1"/>
      <c r="E23" s="1" t="s">
        <v>90</v>
      </c>
      <c r="F23" s="2">
        <f>('2017'!F23*Faktor!$B$6)+'2017'!F23</f>
        <v>22.774650000000001</v>
      </c>
      <c r="G23" s="1"/>
      <c r="H23" s="4"/>
    </row>
    <row r="24" spans="1:8" x14ac:dyDescent="0.15">
      <c r="A24" s="3" t="s">
        <v>18</v>
      </c>
      <c r="B24" s="2">
        <f>('2017'!B24*Faktor!$B$6)+'2017'!B24</f>
        <v>3.9537199999999997</v>
      </c>
      <c r="C24" s="1"/>
      <c r="D24" s="1"/>
      <c r="E24" s="1" t="s">
        <v>88</v>
      </c>
      <c r="F24" s="2">
        <f>('2017'!F24*Faktor!$B$6)+'2017'!F24</f>
        <v>27.32958</v>
      </c>
      <c r="G24" s="1"/>
      <c r="H24" s="4"/>
    </row>
    <row r="25" spans="1:8" x14ac:dyDescent="0.15">
      <c r="A25" s="3" t="s">
        <v>19</v>
      </c>
      <c r="B25" s="2">
        <f>('2017'!B25*Faktor!$B$6)+'2017'!B25</f>
        <v>3.9537199999999997</v>
      </c>
      <c r="C25" s="1"/>
      <c r="D25" s="1"/>
      <c r="E25" s="51" t="s">
        <v>97</v>
      </c>
      <c r="F25" s="2">
        <f>('2017'!F25*Faktor!$B$6)+'2017'!F25</f>
        <v>6.7865400000000005</v>
      </c>
      <c r="G25" s="1"/>
      <c r="H25" s="4"/>
    </row>
    <row r="26" spans="1:8" x14ac:dyDescent="0.15">
      <c r="A26" s="3" t="s">
        <v>112</v>
      </c>
      <c r="B26" s="2">
        <f>('2017'!B26*Faktor!$B$6)+'2017'!B26</f>
        <v>3.9537199999999997</v>
      </c>
      <c r="C26" s="1"/>
      <c r="D26" s="1"/>
      <c r="E26" s="51" t="s">
        <v>81</v>
      </c>
      <c r="F26" s="2">
        <f>('2017'!F26*Faktor!$B$6)+'2017'!F26</f>
        <v>8.48827</v>
      </c>
      <c r="G26" s="1"/>
      <c r="H26" s="4"/>
    </row>
    <row r="27" spans="1:8" x14ac:dyDescent="0.15">
      <c r="A27" s="3" t="s">
        <v>20</v>
      </c>
      <c r="B27" s="2">
        <f>('2017'!B27*Faktor!$B$6)+'2017'!B27</f>
        <v>3.9537199999999997</v>
      </c>
      <c r="C27" s="1"/>
      <c r="D27" s="1"/>
      <c r="E27" s="1" t="s">
        <v>106</v>
      </c>
      <c r="F27" s="2">
        <v>8.41</v>
      </c>
      <c r="G27" s="1"/>
      <c r="H27" s="4"/>
    </row>
    <row r="28" spans="1:8" x14ac:dyDescent="0.15">
      <c r="A28" s="3" t="s">
        <v>21</v>
      </c>
      <c r="B28" s="2">
        <f>('2017'!B28*Faktor!$B$6)+'2017'!B28</f>
        <v>8.3354199999999992</v>
      </c>
      <c r="C28" s="1"/>
      <c r="D28" s="1"/>
      <c r="E28" s="1" t="s">
        <v>44</v>
      </c>
      <c r="F28" s="2">
        <v>5</v>
      </c>
      <c r="G28" s="1"/>
      <c r="H28" s="4"/>
    </row>
    <row r="29" spans="1:8" x14ac:dyDescent="0.15">
      <c r="A29" s="3" t="s">
        <v>22</v>
      </c>
      <c r="B29" s="2">
        <f>('2017'!B29*Faktor!$B$6)+'2017'!B29</f>
        <v>8.3354199999999992</v>
      </c>
      <c r="C29" s="1"/>
      <c r="D29" s="1"/>
      <c r="E29" s="1" t="s">
        <v>110</v>
      </c>
      <c r="F29" s="2">
        <f>('2017'!F29*Faktor!$B$6)+'2017'!F29</f>
        <v>3.4136500000000001</v>
      </c>
      <c r="G29" s="1"/>
      <c r="H29" s="4"/>
    </row>
    <row r="30" spans="1:8" x14ac:dyDescent="0.15">
      <c r="A30" s="22" t="s">
        <v>119</v>
      </c>
      <c r="B30" s="49">
        <v>8.34</v>
      </c>
      <c r="C30" s="1"/>
      <c r="D30" s="1"/>
      <c r="E30" s="1" t="s">
        <v>82</v>
      </c>
      <c r="F30" s="2">
        <f>('2017'!F30*Faktor!$B$6)+'2017'!F30</f>
        <v>42.44135</v>
      </c>
      <c r="G30" s="1"/>
      <c r="H30" s="4"/>
    </row>
    <row r="31" spans="1:8" x14ac:dyDescent="0.15">
      <c r="A31" s="3" t="s">
        <v>104</v>
      </c>
      <c r="B31" s="2">
        <f>('2017'!B31*Faktor!$B$6)+'2017'!B31</f>
        <v>5.2580400000000003</v>
      </c>
      <c r="C31" s="1"/>
      <c r="D31" s="1"/>
      <c r="E31" s="1" t="s">
        <v>83</v>
      </c>
      <c r="F31" s="2">
        <f>('2017'!F31*Faktor!$B$6)+'2017'!F31</f>
        <v>10.617979999999999</v>
      </c>
      <c r="G31" s="1"/>
      <c r="H31" s="4"/>
    </row>
    <row r="32" spans="1:8" x14ac:dyDescent="0.15">
      <c r="A32" s="3" t="s">
        <v>105</v>
      </c>
      <c r="B32" s="2">
        <f>('2017'!B32*Faktor!$B$6)+'2017'!B32</f>
        <v>3.9537199999999997</v>
      </c>
      <c r="C32" s="1"/>
      <c r="D32" s="1"/>
      <c r="E32" s="1" t="s">
        <v>55</v>
      </c>
      <c r="F32" s="2">
        <f>('2017'!F32*Faktor!$B$6)+'2017'!F32</f>
        <v>20.797600449206879</v>
      </c>
      <c r="G32" s="1"/>
      <c r="H32" s="4"/>
    </row>
    <row r="33" spans="1:8" x14ac:dyDescent="0.15">
      <c r="A33" s="3" t="s">
        <v>23</v>
      </c>
      <c r="B33" s="2">
        <f>('2017'!B33*Faktor!$B$6)+'2017'!B33</f>
        <v>3.7397299999999998</v>
      </c>
      <c r="C33" s="1"/>
      <c r="D33" s="1"/>
      <c r="E33" s="1" t="s">
        <v>56</v>
      </c>
      <c r="F33" s="2">
        <f>('2017'!F33*Faktor!$B$6)+'2017'!F33</f>
        <v>2.8292423609034003</v>
      </c>
      <c r="G33" s="1"/>
      <c r="H33" s="4"/>
    </row>
    <row r="34" spans="1:8" x14ac:dyDescent="0.15">
      <c r="A34" s="3" t="s">
        <v>24</v>
      </c>
      <c r="B34" s="2">
        <f>('2017'!B34*Faktor!$B$6)+'2017'!B34</f>
        <v>3.7397299999999998</v>
      </c>
      <c r="C34" s="1"/>
      <c r="D34" s="1"/>
      <c r="E34" s="1" t="s">
        <v>57</v>
      </c>
      <c r="F34" s="2">
        <f>('2017'!F34*Faktor!$B$6)+'2017'!F34</f>
        <v>7.8257911341214799</v>
      </c>
      <c r="G34" s="1"/>
      <c r="H34" s="4"/>
    </row>
    <row r="35" spans="1:8" x14ac:dyDescent="0.15">
      <c r="A35" s="3" t="s">
        <v>64</v>
      </c>
      <c r="B35" s="2">
        <f>('2017'!B35*Faktor!$B$6)+'2017'!B35</f>
        <v>2.4185863915200003</v>
      </c>
      <c r="C35" s="1"/>
      <c r="D35" s="1"/>
      <c r="E35" s="1" t="s">
        <v>58</v>
      </c>
      <c r="F35" s="2">
        <f>('2017'!F35*Faktor!$B$6)+'2017'!F35</f>
        <v>7.8257911341214799</v>
      </c>
      <c r="G35" s="1"/>
      <c r="H35" s="4"/>
    </row>
    <row r="36" spans="1:8" x14ac:dyDescent="0.15">
      <c r="A36" s="3" t="s">
        <v>25</v>
      </c>
      <c r="B36" s="2">
        <f>('2017'!B36*Faktor!$B$6)+'2017'!B36</f>
        <v>6.0121000000000002</v>
      </c>
      <c r="C36" s="1"/>
      <c r="D36" s="1"/>
      <c r="E36" s="1" t="s">
        <v>59</v>
      </c>
      <c r="F36" s="2">
        <f>('2017'!F36*Faktor!$B$6)+'2017'!F36</f>
        <v>37.0916</v>
      </c>
      <c r="G36" s="1"/>
      <c r="H36" s="4"/>
    </row>
    <row r="37" spans="1:8" x14ac:dyDescent="0.15">
      <c r="A37" s="3" t="s">
        <v>26</v>
      </c>
      <c r="B37" s="2">
        <f>('2017'!B37*Faktor!$B$6)+'2017'!B37</f>
        <v>6.0121000000000002</v>
      </c>
      <c r="C37" s="1"/>
      <c r="D37" s="1"/>
      <c r="E37" s="1" t="s">
        <v>60</v>
      </c>
      <c r="F37" s="2">
        <f>('2017'!F37*Faktor!$B$6)+'2017'!F37</f>
        <v>32.241160000000001</v>
      </c>
      <c r="G37" s="1"/>
      <c r="H37" s="4"/>
    </row>
    <row r="38" spans="1:8" x14ac:dyDescent="0.15">
      <c r="A38" s="3" t="s">
        <v>27</v>
      </c>
      <c r="B38" s="2">
        <f>('2017'!B38*Faktor!$B$6)+'2017'!B38</f>
        <v>2.5780699999999999</v>
      </c>
      <c r="C38" s="1"/>
      <c r="D38" s="1"/>
      <c r="E38" s="1" t="s">
        <v>61</v>
      </c>
      <c r="F38" s="2">
        <f>('2017'!F38*Faktor!$B$6)+'2017'!F38</f>
        <v>32.241160000000001</v>
      </c>
      <c r="G38" s="1"/>
      <c r="H38" s="4"/>
    </row>
    <row r="39" spans="1:8" x14ac:dyDescent="0.15">
      <c r="A39" s="3" t="s">
        <v>28</v>
      </c>
      <c r="B39" s="2">
        <f>('2017'!B39*Faktor!$B$6)+'2017'!B39</f>
        <v>2.5780699999999999</v>
      </c>
      <c r="C39" s="1"/>
      <c r="D39" s="1"/>
      <c r="E39" s="1" t="s">
        <v>102</v>
      </c>
      <c r="F39" s="2">
        <f>('2017'!F39*Faktor!$B$6)+'2017'!F39</f>
        <v>12.492939999999999</v>
      </c>
      <c r="G39" s="1"/>
      <c r="H39" s="4"/>
    </row>
    <row r="40" spans="1:8" x14ac:dyDescent="0.15">
      <c r="A40" s="3" t="s">
        <v>29</v>
      </c>
      <c r="B40" s="2">
        <f>('2017'!B40*Faktor!$B$6)+'2017'!B40</f>
        <v>2.5780699999999999</v>
      </c>
      <c r="C40" s="1"/>
      <c r="D40" s="1"/>
      <c r="E40" s="1" t="s">
        <v>63</v>
      </c>
      <c r="F40" s="2">
        <f>('2017'!F40*Faktor!$B$6)+'2017'!F40</f>
        <v>2.3538900000000003</v>
      </c>
      <c r="G40" s="1"/>
      <c r="H40" s="4"/>
    </row>
    <row r="41" spans="1:8" x14ac:dyDescent="0.15">
      <c r="A41" s="3" t="s">
        <v>30</v>
      </c>
      <c r="B41" s="2">
        <f>('2017'!B41*Faktor!$B$6)+'2017'!B41</f>
        <v>2.5780699999999999</v>
      </c>
      <c r="C41" s="1"/>
      <c r="D41" s="1"/>
      <c r="E41" s="1" t="s">
        <v>62</v>
      </c>
      <c r="F41" s="2">
        <f>('2017'!F41*Faktor!$B$6)+'2017'!F41</f>
        <v>5.6656399999999998</v>
      </c>
      <c r="G41" s="1"/>
      <c r="H41" s="4"/>
    </row>
    <row r="42" spans="1:8" x14ac:dyDescent="0.15">
      <c r="A42" s="3" t="s">
        <v>31</v>
      </c>
      <c r="B42" s="2">
        <f>('2017'!B42*Faktor!$B$6)+'2017'!B42</f>
        <v>2.5780699999999999</v>
      </c>
      <c r="C42" s="1"/>
      <c r="D42" s="1"/>
      <c r="E42" s="1" t="s">
        <v>120</v>
      </c>
      <c r="F42" s="2">
        <f>('2017'!F42*Faktor!$B$6)+'2017'!F42</f>
        <v>5.2580400000000003</v>
      </c>
      <c r="G42" s="1"/>
      <c r="H42" s="4"/>
    </row>
    <row r="43" spans="1:8" x14ac:dyDescent="0.15">
      <c r="A43" s="3" t="s">
        <v>32</v>
      </c>
      <c r="B43" s="2">
        <f>('2017'!B43*Faktor!$B$6)+'2017'!B43</f>
        <v>2.5780699999999999</v>
      </c>
      <c r="C43" s="1"/>
      <c r="D43" s="1"/>
      <c r="E43" s="50" t="s">
        <v>114</v>
      </c>
      <c r="F43" s="2">
        <f>('2017'!F43*Faktor!$B$6)+'2017'!F43</f>
        <v>250.60267000000002</v>
      </c>
      <c r="G43" s="1"/>
      <c r="H43" s="4"/>
    </row>
    <row r="44" spans="1:8" x14ac:dyDescent="0.15">
      <c r="A44" s="3" t="s">
        <v>98</v>
      </c>
      <c r="B44" s="2">
        <f>('2017'!B44*Faktor!$B$6)+'2017'!B44</f>
        <v>5.14595</v>
      </c>
      <c r="C44" s="1"/>
      <c r="D44" s="1"/>
      <c r="E44" s="50" t="s">
        <v>115</v>
      </c>
      <c r="F44" s="2">
        <f>('2017'!F44*Faktor!$B$6)+'2017'!F44</f>
        <v>126.56998999999999</v>
      </c>
      <c r="G44" s="1"/>
      <c r="H44" s="4"/>
    </row>
    <row r="45" spans="1:8" x14ac:dyDescent="0.15">
      <c r="A45" s="3" t="s">
        <v>91</v>
      </c>
      <c r="B45" s="2">
        <f>('2017'!B45*Faktor!$B$6)+'2017'!B45</f>
        <v>15.376709999999999</v>
      </c>
      <c r="C45" s="1"/>
      <c r="D45" s="1"/>
      <c r="E45" s="1" t="s">
        <v>122</v>
      </c>
      <c r="F45" s="2">
        <v>5.2</v>
      </c>
      <c r="G45" s="1"/>
      <c r="H45" s="4"/>
    </row>
    <row r="46" spans="1:8" x14ac:dyDescent="0.15">
      <c r="A46" s="3" t="s">
        <v>92</v>
      </c>
      <c r="B46" s="2">
        <f>('2017'!B46*Faktor!$B$6)+'2017'!B46</f>
        <v>15.376709999999999</v>
      </c>
      <c r="C46" s="1"/>
      <c r="D46" s="1"/>
      <c r="E46" s="1" t="s">
        <v>108</v>
      </c>
      <c r="F46" s="2">
        <f>('2017'!F46*Faktor!$B$6)+'2017'!F46</f>
        <v>5.6478083355392403</v>
      </c>
      <c r="G46" s="1"/>
      <c r="H46" s="4"/>
    </row>
    <row r="47" spans="1:8" x14ac:dyDescent="0.15">
      <c r="A47" s="3" t="s">
        <v>93</v>
      </c>
      <c r="B47" s="2">
        <f>('2017'!B47*Faktor!$B$6)+'2017'!B47</f>
        <v>6.6540699999999999</v>
      </c>
      <c r="C47" s="1"/>
      <c r="D47" s="1"/>
      <c r="E47" s="1" t="s">
        <v>65</v>
      </c>
      <c r="F47" s="2">
        <f>('2017'!F47*Faktor!$B$6)+'2017'!F47</f>
        <v>6.7865400000000005</v>
      </c>
      <c r="G47" s="1"/>
      <c r="H47" s="4"/>
    </row>
    <row r="48" spans="1:8" x14ac:dyDescent="0.15">
      <c r="A48" s="3" t="s">
        <v>113</v>
      </c>
      <c r="B48" s="2">
        <f>('2017'!B48*Faktor!$B$6)+'2017'!B48</f>
        <v>22.784839999999999</v>
      </c>
      <c r="C48" s="1"/>
      <c r="D48" s="1"/>
      <c r="E48" s="1" t="s">
        <v>66</v>
      </c>
      <c r="F48" s="2">
        <f>('2017'!F48*Faktor!$B$6)+'2017'!F48</f>
        <v>4.0677031679403601</v>
      </c>
      <c r="G48" s="1"/>
      <c r="H48" s="4"/>
    </row>
    <row r="49" spans="1:8" x14ac:dyDescent="0.15">
      <c r="A49" s="3" t="s">
        <v>33</v>
      </c>
      <c r="B49" s="2">
        <f>('2017'!B49*Faktor!$B$6)+'2017'!B49</f>
        <v>15.94735</v>
      </c>
      <c r="C49" s="1"/>
      <c r="D49" s="1"/>
      <c r="E49" s="37" t="s">
        <v>84</v>
      </c>
      <c r="F49" s="2">
        <f>('2017'!F49*Faktor!$B$6)+'2017'!F49</f>
        <v>9.9930975464361591</v>
      </c>
      <c r="G49" s="1"/>
      <c r="H49" s="4"/>
    </row>
    <row r="50" spans="1:8" ht="13.5" thickBot="1" x14ac:dyDescent="0.2">
      <c r="A50" s="3" t="s">
        <v>34</v>
      </c>
      <c r="B50" s="2">
        <f>('2017'!B50*Faktor!$B$6)+'2017'!B50</f>
        <v>12.533700000000001</v>
      </c>
      <c r="C50" s="1"/>
      <c r="D50" s="1"/>
      <c r="E50" s="37" t="s">
        <v>123</v>
      </c>
      <c r="F50" s="52">
        <v>8.5399999999999991</v>
      </c>
      <c r="G50" s="37"/>
      <c r="H50" s="39"/>
    </row>
    <row r="51" spans="1:8" x14ac:dyDescent="0.15">
      <c r="A51" s="3" t="s">
        <v>35</v>
      </c>
      <c r="B51" s="2">
        <f>('2017'!B51*Faktor!$B$6)+'2017'!B51</f>
        <v>9.1302400000000006</v>
      </c>
      <c r="C51" s="1"/>
      <c r="D51" s="35"/>
      <c r="E51" s="21" t="s">
        <v>101</v>
      </c>
      <c r="F51" s="48"/>
      <c r="G51" s="9"/>
      <c r="H51" s="11"/>
    </row>
    <row r="52" spans="1:8" x14ac:dyDescent="0.15">
      <c r="A52" s="3" t="s">
        <v>36</v>
      </c>
      <c r="B52" s="2">
        <f>('2017'!B52*Faktor!$B$6)+'2017'!B52</f>
        <v>5.1968999999999994</v>
      </c>
      <c r="C52" s="1"/>
      <c r="D52" s="35"/>
      <c r="E52" s="3" t="s">
        <v>67</v>
      </c>
      <c r="F52" s="2"/>
      <c r="G52" s="1"/>
      <c r="H52" s="4"/>
    </row>
    <row r="53" spans="1:8" x14ac:dyDescent="0.15">
      <c r="A53" s="3" t="s">
        <v>37</v>
      </c>
      <c r="B53" s="2">
        <f>('2017'!B53*Faktor!$B$6)+'2017'!B53</f>
        <v>5.1968999999999994</v>
      </c>
      <c r="C53" s="1"/>
      <c r="D53" s="35"/>
      <c r="E53" s="3" t="s">
        <v>68</v>
      </c>
      <c r="F53" s="2">
        <f>('2017'!F53*Faktor!$B$6)+'2017'!F53</f>
        <v>2.8399187471709606</v>
      </c>
      <c r="G53" s="1"/>
      <c r="H53" s="4"/>
    </row>
    <row r="54" spans="1:8" x14ac:dyDescent="0.15">
      <c r="A54" s="3" t="s">
        <v>38</v>
      </c>
      <c r="B54" s="2">
        <f>('2017'!B54*Faktor!$B$6)+'2017'!B54</f>
        <v>5.1968999999999994</v>
      </c>
      <c r="C54" s="1"/>
      <c r="D54" s="35"/>
      <c r="E54" s="3" t="s">
        <v>80</v>
      </c>
      <c r="F54" s="2"/>
      <c r="G54" s="1"/>
      <c r="H54" s="4"/>
    </row>
    <row r="55" spans="1:8" x14ac:dyDescent="0.15">
      <c r="A55" s="3" t="s">
        <v>39</v>
      </c>
      <c r="B55" s="2">
        <f>('2017'!B55*Faktor!$B$6)+'2017'!B55</f>
        <v>5.1968999999999994</v>
      </c>
      <c r="C55" s="1"/>
      <c r="D55" s="35"/>
      <c r="E55" s="3"/>
      <c r="F55" s="2"/>
      <c r="G55" s="1"/>
      <c r="H55" s="4"/>
    </row>
    <row r="56" spans="1:8" x14ac:dyDescent="0.15">
      <c r="A56" s="3" t="s">
        <v>40</v>
      </c>
      <c r="B56" s="2">
        <f>('2017'!B56*Faktor!$B$6)+'2017'!B56</f>
        <v>5.1968999999999994</v>
      </c>
      <c r="C56" s="1"/>
      <c r="D56" s="35"/>
      <c r="E56" s="3" t="s">
        <v>69</v>
      </c>
      <c r="F56" s="2">
        <v>59.23</v>
      </c>
      <c r="G56" s="1"/>
      <c r="H56" s="4"/>
    </row>
    <row r="57" spans="1:8" x14ac:dyDescent="0.15">
      <c r="A57" s="3" t="s">
        <v>41</v>
      </c>
      <c r="B57" s="2">
        <f>('2017'!B57*Faktor!$B$6)+'2017'!B57</f>
        <v>23.151679999999999</v>
      </c>
      <c r="C57" s="1"/>
      <c r="D57" s="35"/>
      <c r="E57" s="3" t="s">
        <v>70</v>
      </c>
      <c r="F57" s="2">
        <f>('2017'!F57*Faktor!$B$6)+'2017'!F57</f>
        <v>1.7402509616122799</v>
      </c>
      <c r="G57" s="1"/>
      <c r="H57" s="4"/>
    </row>
    <row r="58" spans="1:8" x14ac:dyDescent="0.15">
      <c r="A58" s="3" t="s">
        <v>42</v>
      </c>
      <c r="B58" s="2">
        <f>('2017'!B58*Faktor!$B$6)+'2017'!B58</f>
        <v>23.151679999999999</v>
      </c>
      <c r="C58" s="1"/>
      <c r="D58" s="35"/>
      <c r="E58" s="3" t="s">
        <v>71</v>
      </c>
      <c r="F58" s="2"/>
      <c r="G58" s="1"/>
      <c r="H58" s="4"/>
    </row>
    <row r="59" spans="1:8" x14ac:dyDescent="0.15">
      <c r="A59" s="3" t="s">
        <v>100</v>
      </c>
      <c r="B59" s="2">
        <f>('2017'!B59*Faktor!$B$6)+'2017'!B59</f>
        <v>23.151679999999999</v>
      </c>
      <c r="C59" s="1"/>
      <c r="D59" s="35"/>
      <c r="E59" s="3" t="s">
        <v>72</v>
      </c>
      <c r="F59" s="2"/>
      <c r="G59" s="1"/>
      <c r="H59" s="4"/>
    </row>
    <row r="60" spans="1:8" ht="13.5" thickBot="1" x14ac:dyDescent="0.2">
      <c r="A60" s="5" t="s">
        <v>43</v>
      </c>
      <c r="B60" s="42">
        <f>('2017'!B60*Faktor!$B$6)+'2017'!B60</f>
        <v>23.151679999999999</v>
      </c>
      <c r="C60" s="6"/>
      <c r="D60" s="36"/>
      <c r="E60" s="5"/>
      <c r="F60" s="6"/>
      <c r="G60" s="6"/>
      <c r="H60" s="7"/>
    </row>
  </sheetData>
  <pageMargins left="0.51181102362204722" right="0.31496062992125984" top="0.35433070866141736" bottom="0.35433070866141736" header="0.31496062992125984" footer="0.31496062992125984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C96E-0664-4118-8BB0-D7E23AA6599A}">
  <dimension ref="A1:H60"/>
  <sheetViews>
    <sheetView workbookViewId="0">
      <selection activeCell="E1" sqref="E1"/>
    </sheetView>
  </sheetViews>
  <sheetFormatPr defaultColWidth="8.8984375" defaultRowHeight="12.75" x14ac:dyDescent="0.15"/>
  <cols>
    <col min="1" max="1" width="17.39453125" customWidth="1"/>
    <col min="2" max="4" width="8.8984375" customWidth="1"/>
    <col min="5" max="5" width="16.85546875" customWidth="1"/>
  </cols>
  <sheetData>
    <row r="1" spans="1:8" ht="13.5" thickBot="1" x14ac:dyDescent="0.2">
      <c r="A1" s="53"/>
      <c r="B1" s="53"/>
      <c r="C1" s="53"/>
      <c r="D1" s="53"/>
      <c r="E1" s="54" t="s">
        <v>118</v>
      </c>
      <c r="F1" s="53"/>
      <c r="G1" s="53"/>
      <c r="H1" s="53"/>
    </row>
    <row r="2" spans="1:8" x14ac:dyDescent="0.15">
      <c r="A2" s="55" t="s">
        <v>0</v>
      </c>
      <c r="B2" s="56"/>
      <c r="C2" s="57"/>
      <c r="D2" s="58"/>
      <c r="E2" s="59" t="s">
        <v>76</v>
      </c>
      <c r="F2" s="60"/>
      <c r="G2" s="61"/>
      <c r="H2" s="62"/>
    </row>
    <row r="3" spans="1:8" x14ac:dyDescent="0.15">
      <c r="A3" s="63" t="s">
        <v>1</v>
      </c>
      <c r="B3" s="64"/>
      <c r="C3" s="65"/>
      <c r="D3" s="66"/>
      <c r="E3" s="67" t="s">
        <v>77</v>
      </c>
      <c r="F3" s="68"/>
      <c r="G3" s="50"/>
      <c r="H3" s="69"/>
    </row>
    <row r="4" spans="1:8" x14ac:dyDescent="0.15">
      <c r="A4" s="63" t="s">
        <v>2</v>
      </c>
      <c r="B4" s="64"/>
      <c r="C4" s="65"/>
      <c r="D4" s="66"/>
      <c r="E4" s="67" t="s">
        <v>78</v>
      </c>
      <c r="F4" s="68"/>
      <c r="G4" s="50"/>
      <c r="H4" s="69"/>
    </row>
    <row r="5" spans="1:8" ht="13.5" thickBot="1" x14ac:dyDescent="0.2">
      <c r="A5" s="70" t="s">
        <v>3</v>
      </c>
      <c r="B5" s="71"/>
      <c r="C5" s="72"/>
      <c r="D5" s="73"/>
      <c r="E5" s="74" t="s">
        <v>79</v>
      </c>
      <c r="F5" s="75"/>
      <c r="G5" s="76"/>
      <c r="H5" s="77"/>
    </row>
    <row r="6" spans="1:8" x14ac:dyDescent="0.15">
      <c r="A6" s="60"/>
      <c r="B6" s="78" t="s">
        <v>73</v>
      </c>
      <c r="C6" s="78" t="s">
        <v>74</v>
      </c>
      <c r="D6" s="78" t="s">
        <v>75</v>
      </c>
      <c r="E6" s="61"/>
      <c r="F6" s="78" t="s">
        <v>73</v>
      </c>
      <c r="G6" s="78" t="s">
        <v>74</v>
      </c>
      <c r="H6" s="79" t="s">
        <v>75</v>
      </c>
    </row>
    <row r="7" spans="1:8" x14ac:dyDescent="0.15">
      <c r="A7" s="68" t="s">
        <v>4</v>
      </c>
      <c r="B7" s="80">
        <f>('2018'!B7*Faktor!$B$7)+'2018'!B7</f>
        <v>2.25103214</v>
      </c>
      <c r="C7" s="50"/>
      <c r="D7" s="50"/>
      <c r="E7" s="50" t="s">
        <v>47</v>
      </c>
      <c r="F7" s="80">
        <f>('2018'!F7*Faktor!$B$7)+'2018'!F7</f>
        <v>12.759306600000002</v>
      </c>
      <c r="G7" s="50"/>
      <c r="H7" s="69"/>
    </row>
    <row r="8" spans="1:8" x14ac:dyDescent="0.15">
      <c r="A8" s="68" t="s">
        <v>5</v>
      </c>
      <c r="B8" s="80">
        <f>('2018'!B8*Faktor!$B$7)+'2018'!B8</f>
        <v>2.25103214</v>
      </c>
      <c r="C8" s="50"/>
      <c r="D8" s="50"/>
      <c r="E8" s="50" t="s">
        <v>99</v>
      </c>
      <c r="F8" s="80">
        <f>('2018'!F8*Faktor!$B$7)+'2018'!F8</f>
        <v>14.398306959999999</v>
      </c>
      <c r="G8" s="50"/>
      <c r="H8" s="69"/>
    </row>
    <row r="9" spans="1:8" x14ac:dyDescent="0.15">
      <c r="A9" s="68" t="s">
        <v>54</v>
      </c>
      <c r="B9" s="80">
        <f>('2018'!B9*Faktor!$B$7)+'2018'!B9</f>
        <v>3.7240577799999999</v>
      </c>
      <c r="C9" s="50"/>
      <c r="D9" s="50"/>
      <c r="E9" s="50" t="s">
        <v>45</v>
      </c>
      <c r="F9" s="80">
        <f>('2018'!F9*Faktor!$B$7)+'2018'!F9</f>
        <v>3.3609880800000003</v>
      </c>
      <c r="G9" s="50"/>
      <c r="H9" s="69"/>
    </row>
    <row r="10" spans="1:8" x14ac:dyDescent="0.15">
      <c r="A10" s="68" t="s">
        <v>107</v>
      </c>
      <c r="B10" s="80">
        <f>('2018'!B10*Faktor!$B$7)+'2018'!B10</f>
        <v>1.4964599999999999</v>
      </c>
      <c r="C10" s="50"/>
      <c r="D10" s="50"/>
      <c r="E10" s="50" t="s">
        <v>46</v>
      </c>
      <c r="F10" s="80">
        <f>('2018'!F10*Faktor!$B$7)+'2018'!F10</f>
        <v>12.759306600000002</v>
      </c>
      <c r="G10" s="50"/>
      <c r="H10" s="69"/>
    </row>
    <row r="11" spans="1:8" x14ac:dyDescent="0.15">
      <c r="A11" s="68" t="s">
        <v>6</v>
      </c>
      <c r="B11" s="80">
        <f>('2018'!B11*Faktor!$B$7)+'2018'!B11</f>
        <v>15.653490779999998</v>
      </c>
      <c r="C11" s="50"/>
      <c r="D11" s="50"/>
      <c r="E11" s="50" t="s">
        <v>96</v>
      </c>
      <c r="F11" s="80">
        <f>('2018'!F11*Faktor!$B$7)+'2018'!F11</f>
        <v>3.3609880800000003</v>
      </c>
      <c r="G11" s="50"/>
      <c r="H11" s="69"/>
    </row>
    <row r="12" spans="1:8" x14ac:dyDescent="0.15">
      <c r="A12" s="68" t="s">
        <v>7</v>
      </c>
      <c r="B12" s="80">
        <f>('2018'!B12*Faktor!$B$7)+'2018'!B12</f>
        <v>15.653490779999998</v>
      </c>
      <c r="C12" s="50"/>
      <c r="D12" s="50"/>
      <c r="E12" s="50" t="s">
        <v>48</v>
      </c>
      <c r="F12" s="80">
        <f>('2018'!F12*Faktor!$B$7)+'2018'!F12</f>
        <v>12.00204694</v>
      </c>
      <c r="G12" s="50"/>
      <c r="H12" s="69"/>
    </row>
    <row r="13" spans="1:8" x14ac:dyDescent="0.15">
      <c r="A13" s="68" t="s">
        <v>8</v>
      </c>
      <c r="B13" s="80">
        <f>('2018'!B13*Faktor!$B$7)+'2018'!B13</f>
        <v>15.653490779999998</v>
      </c>
      <c r="C13" s="50"/>
      <c r="D13" s="50"/>
      <c r="E13" s="50" t="s">
        <v>94</v>
      </c>
      <c r="F13" s="80">
        <f>('2018'!F13*Faktor!$B$7)+'2018'!F13</f>
        <v>3.3609880800000003</v>
      </c>
      <c r="G13" s="50"/>
      <c r="H13" s="69"/>
    </row>
    <row r="14" spans="1:8" x14ac:dyDescent="0.15">
      <c r="A14" s="68" t="s">
        <v>9</v>
      </c>
      <c r="B14" s="80">
        <f>('2018'!B14*Faktor!$B$7)+'2018'!B14</f>
        <v>15.653490779999998</v>
      </c>
      <c r="C14" s="50"/>
      <c r="D14" s="50"/>
      <c r="E14" s="50" t="s">
        <v>49</v>
      </c>
      <c r="F14" s="80">
        <f>('2018'!F14*Faktor!$B$7)+'2018'!F14</f>
        <v>3.3609880800000003</v>
      </c>
      <c r="G14" s="50"/>
      <c r="H14" s="69"/>
    </row>
    <row r="15" spans="1:8" x14ac:dyDescent="0.15">
      <c r="A15" s="68" t="s">
        <v>10</v>
      </c>
      <c r="B15" s="80">
        <f>('2018'!B15*Faktor!$B$7)+'2018'!B15</f>
        <v>15.653490779999998</v>
      </c>
      <c r="C15" s="50"/>
      <c r="D15" s="50"/>
      <c r="E15" s="50" t="s">
        <v>50</v>
      </c>
      <c r="F15" s="80">
        <f>('2018'!F15*Faktor!$B$7)+'2018'!F15</f>
        <v>3.3609880800000003</v>
      </c>
      <c r="G15" s="50"/>
      <c r="H15" s="69"/>
    </row>
    <row r="16" spans="1:8" x14ac:dyDescent="0.15">
      <c r="A16" s="81" t="s">
        <v>103</v>
      </c>
      <c r="B16" s="80">
        <f>('2018'!B16*Faktor!$B$7)+'2018'!B16</f>
        <v>2.3236460800000001</v>
      </c>
      <c r="C16" s="50"/>
      <c r="D16" s="50"/>
      <c r="E16" s="50" t="s">
        <v>51</v>
      </c>
      <c r="F16" s="80">
        <f>('2018'!F16*Faktor!$B$7)+'2018'!F16</f>
        <v>3.3609880800000003</v>
      </c>
      <c r="G16" s="50"/>
      <c r="H16" s="69"/>
    </row>
    <row r="17" spans="1:8" x14ac:dyDescent="0.15">
      <c r="A17" s="68" t="s">
        <v>11</v>
      </c>
      <c r="B17" s="80">
        <f>('2018'!B17*Faktor!$B$7)+'2018'!B17</f>
        <v>5.3526847200000001</v>
      </c>
      <c r="C17" s="50"/>
      <c r="D17" s="50"/>
      <c r="E17" s="50" t="s">
        <v>52</v>
      </c>
      <c r="F17" s="80">
        <f>('2018'!F17*Faktor!$B$7)+'2018'!F17</f>
        <v>3.3609880800000003</v>
      </c>
      <c r="G17" s="50"/>
      <c r="H17" s="69"/>
    </row>
    <row r="18" spans="1:8" x14ac:dyDescent="0.15">
      <c r="A18" s="68" t="s">
        <v>12</v>
      </c>
      <c r="B18" s="80">
        <f>('2018'!B18*Faktor!$B$7)+'2018'!B18</f>
        <v>5.3526847200000001</v>
      </c>
      <c r="C18" s="50"/>
      <c r="D18" s="50"/>
      <c r="E18" s="50" t="s">
        <v>53</v>
      </c>
      <c r="F18" s="80">
        <f>('2018'!F18*Faktor!$B$7)+'2018'!F18</f>
        <v>3.3609880800000003</v>
      </c>
      <c r="G18" s="50"/>
      <c r="H18" s="69"/>
    </row>
    <row r="19" spans="1:8" x14ac:dyDescent="0.15">
      <c r="A19" s="68" t="s">
        <v>13</v>
      </c>
      <c r="B19" s="80">
        <f>('2018'!B19*Faktor!$B$7)+'2018'!B19</f>
        <v>5.3526847200000001</v>
      </c>
      <c r="C19" s="50"/>
      <c r="D19" s="50"/>
      <c r="E19" s="50" t="s">
        <v>85</v>
      </c>
      <c r="F19" s="80">
        <f>('2018'!F19*Faktor!$B$7)+'2018'!F19</f>
        <v>4.6369187399999996</v>
      </c>
      <c r="G19" s="50"/>
      <c r="H19" s="69"/>
    </row>
    <row r="20" spans="1:8" x14ac:dyDescent="0.15">
      <c r="A20" s="68" t="s">
        <v>14</v>
      </c>
      <c r="B20" s="80">
        <f>('2018'!B20*Faktor!$B$7)+'2018'!B20</f>
        <v>5.3526847200000001</v>
      </c>
      <c r="C20" s="50"/>
      <c r="D20" s="50"/>
      <c r="E20" s="50" t="s">
        <v>86</v>
      </c>
      <c r="F20" s="80">
        <f>('2018'!F20*Faktor!$B$7)+'2018'!F20</f>
        <v>9.2738374799999992</v>
      </c>
      <c r="G20" s="50"/>
      <c r="H20" s="69"/>
    </row>
    <row r="21" spans="1:8" x14ac:dyDescent="0.15">
      <c r="A21" s="68" t="s">
        <v>15</v>
      </c>
      <c r="B21" s="80">
        <f>('2018'!B21*Faktor!$B$7)+'2018'!B21</f>
        <v>5.3526847200000001</v>
      </c>
      <c r="C21" s="50"/>
      <c r="D21" s="50"/>
      <c r="E21" s="50" t="s">
        <v>89</v>
      </c>
      <c r="F21" s="80">
        <f>('2018'!F21*Faktor!$B$7)+'2018'!F21</f>
        <v>13.91075622</v>
      </c>
      <c r="G21" s="50"/>
      <c r="H21" s="69"/>
    </row>
    <row r="22" spans="1:8" x14ac:dyDescent="0.15">
      <c r="A22" s="68" t="s">
        <v>16</v>
      </c>
      <c r="B22" s="80">
        <f>('2018'!B22*Faktor!$B$7)+'2018'!B22</f>
        <v>5.3526847200000001</v>
      </c>
      <c r="C22" s="50"/>
      <c r="D22" s="50"/>
      <c r="E22" s="50" t="s">
        <v>87</v>
      </c>
      <c r="F22" s="80">
        <f>('2018'!F22*Faktor!$B$7)+'2018'!F22</f>
        <v>18.547674959999998</v>
      </c>
      <c r="G22" s="50"/>
      <c r="H22" s="69"/>
    </row>
    <row r="23" spans="1:8" x14ac:dyDescent="0.15">
      <c r="A23" s="68" t="s">
        <v>17</v>
      </c>
      <c r="B23" s="80">
        <f>('2018'!B23*Faktor!$B$7)+'2018'!B23</f>
        <v>4.0248869599999999</v>
      </c>
      <c r="C23" s="50"/>
      <c r="D23" s="50"/>
      <c r="E23" s="50" t="s">
        <v>90</v>
      </c>
      <c r="F23" s="80">
        <f>('2018'!F23*Faktor!$B$7)+'2018'!F23</f>
        <v>23.184593700000001</v>
      </c>
      <c r="G23" s="50"/>
      <c r="H23" s="69"/>
    </row>
    <row r="24" spans="1:8" x14ac:dyDescent="0.15">
      <c r="A24" s="68" t="s">
        <v>18</v>
      </c>
      <c r="B24" s="80">
        <f>('2018'!B24*Faktor!$B$7)+'2018'!B24</f>
        <v>4.0248869599999999</v>
      </c>
      <c r="C24" s="50"/>
      <c r="D24" s="50"/>
      <c r="E24" s="50" t="s">
        <v>88</v>
      </c>
      <c r="F24" s="80">
        <f>('2018'!F24*Faktor!$B$7)+'2018'!F24</f>
        <v>27.821512439999999</v>
      </c>
      <c r="G24" s="50"/>
      <c r="H24" s="69"/>
    </row>
    <row r="25" spans="1:8" x14ac:dyDescent="0.15">
      <c r="A25" s="68" t="s">
        <v>19</v>
      </c>
      <c r="B25" s="80">
        <f>('2018'!B25*Faktor!$B$7)+'2018'!B25</f>
        <v>4.0248869599999999</v>
      </c>
      <c r="C25" s="50"/>
      <c r="D25" s="50"/>
      <c r="E25" s="82" t="s">
        <v>97</v>
      </c>
      <c r="F25" s="80">
        <f>('2018'!F25*Faktor!$B$7)+'2018'!F25</f>
        <v>6.9086977200000002</v>
      </c>
      <c r="G25" s="50"/>
      <c r="H25" s="69"/>
    </row>
    <row r="26" spans="1:8" x14ac:dyDescent="0.15">
      <c r="A26" s="68" t="s">
        <v>112</v>
      </c>
      <c r="B26" s="80">
        <f>('2018'!B26*Faktor!$B$7)+'2018'!B26</f>
        <v>4.0248869599999999</v>
      </c>
      <c r="C26" s="50"/>
      <c r="D26" s="50"/>
      <c r="E26" s="82" t="s">
        <v>81</v>
      </c>
      <c r="F26" s="80">
        <f>('2018'!F26*Faktor!$B$7)+'2018'!F26</f>
        <v>8.6410588599999993</v>
      </c>
      <c r="G26" s="50"/>
      <c r="H26" s="69"/>
    </row>
    <row r="27" spans="1:8" x14ac:dyDescent="0.15">
      <c r="A27" s="68" t="s">
        <v>20</v>
      </c>
      <c r="B27" s="80">
        <f>('2018'!B27*Faktor!$B$7)+'2018'!B27</f>
        <v>4.0248869599999999</v>
      </c>
      <c r="C27" s="50"/>
      <c r="D27" s="50"/>
      <c r="E27" s="50" t="s">
        <v>106</v>
      </c>
      <c r="F27" s="80">
        <f>('2018'!F27*Faktor!$B$7)+'2018'!F27</f>
        <v>8.5613799999999998</v>
      </c>
      <c r="G27" s="50"/>
      <c r="H27" s="69"/>
    </row>
    <row r="28" spans="1:8" x14ac:dyDescent="0.15">
      <c r="A28" s="68" t="s">
        <v>21</v>
      </c>
      <c r="B28" s="80">
        <f>('2018'!B28*Faktor!$B$7)+'2018'!B28</f>
        <v>8.4854575599999986</v>
      </c>
      <c r="C28" s="50"/>
      <c r="D28" s="50"/>
      <c r="E28" s="50" t="s">
        <v>44</v>
      </c>
      <c r="F28" s="80">
        <f>('2018'!F28*Faktor!$B$7)+'2018'!F28</f>
        <v>5.09</v>
      </c>
      <c r="G28" s="50"/>
      <c r="H28" s="69"/>
    </row>
    <row r="29" spans="1:8" x14ac:dyDescent="0.15">
      <c r="A29" s="68" t="s">
        <v>22</v>
      </c>
      <c r="B29" s="80">
        <f>('2018'!B29*Faktor!$B$7)+'2018'!B29</f>
        <v>8.4854575599999986</v>
      </c>
      <c r="C29" s="50"/>
      <c r="D29" s="50"/>
      <c r="E29" s="50" t="s">
        <v>110</v>
      </c>
      <c r="F29" s="80">
        <f>('2018'!F29*Faktor!$B$7)+'2018'!F29</f>
        <v>3.4750957000000002</v>
      </c>
      <c r="G29" s="50"/>
      <c r="H29" s="69"/>
    </row>
    <row r="30" spans="1:8" x14ac:dyDescent="0.15">
      <c r="A30" s="81" t="s">
        <v>119</v>
      </c>
      <c r="B30" s="80">
        <f>('2018'!B30*Faktor!$B$7)+'2018'!B30</f>
        <v>8.4901199999999992</v>
      </c>
      <c r="C30" s="50"/>
      <c r="D30" s="50"/>
      <c r="E30" s="50" t="s">
        <v>82</v>
      </c>
      <c r="F30" s="80">
        <f>('2018'!F30*Faktor!$B$7)+'2018'!F30</f>
        <v>43.205294299999998</v>
      </c>
      <c r="G30" s="50"/>
      <c r="H30" s="69"/>
    </row>
    <row r="31" spans="1:8" x14ac:dyDescent="0.15">
      <c r="A31" s="68" t="s">
        <v>104</v>
      </c>
      <c r="B31" s="80">
        <f>('2018'!B31*Faktor!$B$7)+'2018'!B31</f>
        <v>5.3526847200000001</v>
      </c>
      <c r="C31" s="50"/>
      <c r="D31" s="50"/>
      <c r="E31" s="50" t="s">
        <v>83</v>
      </c>
      <c r="F31" s="80">
        <f>('2018'!F31*Faktor!$B$7)+'2018'!F31</f>
        <v>10.80910364</v>
      </c>
      <c r="G31" s="50"/>
      <c r="H31" s="69"/>
    </row>
    <row r="32" spans="1:8" x14ac:dyDescent="0.15">
      <c r="A32" s="68" t="s">
        <v>105</v>
      </c>
      <c r="B32" s="80">
        <f>('2018'!B32*Faktor!$B$7)+'2018'!B32</f>
        <v>4.0248869599999999</v>
      </c>
      <c r="C32" s="50"/>
      <c r="D32" s="50"/>
      <c r="E32" s="50" t="s">
        <v>55</v>
      </c>
      <c r="F32" s="80">
        <f>('2018'!F32*Faktor!$B$7)+'2018'!F32</f>
        <v>21.171957257292604</v>
      </c>
      <c r="G32" s="50"/>
      <c r="H32" s="69"/>
    </row>
    <row r="33" spans="1:8" x14ac:dyDescent="0.15">
      <c r="A33" s="68" t="s">
        <v>23</v>
      </c>
      <c r="B33" s="80">
        <f>('2018'!B33*Faktor!$B$7)+'2018'!B33</f>
        <v>3.8070451399999996</v>
      </c>
      <c r="C33" s="50"/>
      <c r="D33" s="50"/>
      <c r="E33" s="50" t="s">
        <v>56</v>
      </c>
      <c r="F33" s="80">
        <f>('2018'!F33*Faktor!$B$7)+'2018'!F33</f>
        <v>2.8801687233996613</v>
      </c>
      <c r="G33" s="50"/>
      <c r="H33" s="69"/>
    </row>
    <row r="34" spans="1:8" x14ac:dyDescent="0.15">
      <c r="A34" s="68" t="s">
        <v>24</v>
      </c>
      <c r="B34" s="80">
        <f>('2018'!B34*Faktor!$B$7)+'2018'!B34</f>
        <v>3.8070451399999996</v>
      </c>
      <c r="C34" s="50"/>
      <c r="D34" s="50"/>
      <c r="E34" s="50" t="s">
        <v>57</v>
      </c>
      <c r="F34" s="80">
        <f>('2018'!F34*Faktor!$B$7)+'2018'!F34</f>
        <v>7.9666553745356667</v>
      </c>
      <c r="G34" s="50"/>
      <c r="H34" s="69"/>
    </row>
    <row r="35" spans="1:8" x14ac:dyDescent="0.15">
      <c r="A35" s="68" t="s">
        <v>64</v>
      </c>
      <c r="B35" s="80">
        <f>('2018'!B35*Faktor!$B$7)+'2018'!B35</f>
        <v>2.4621209465673601</v>
      </c>
      <c r="C35" s="50"/>
      <c r="D35" s="50"/>
      <c r="E35" s="50" t="s">
        <v>58</v>
      </c>
      <c r="F35" s="80">
        <f>('2018'!F35*Faktor!$B$7)+'2018'!F35</f>
        <v>7.9666553745356667</v>
      </c>
      <c r="G35" s="50"/>
      <c r="H35" s="69"/>
    </row>
    <row r="36" spans="1:8" x14ac:dyDescent="0.15">
      <c r="A36" s="68" t="s">
        <v>25</v>
      </c>
      <c r="B36" s="80">
        <f>('2018'!B36*Faktor!$B$7)+'2018'!B36</f>
        <v>6.1203178000000005</v>
      </c>
      <c r="C36" s="50"/>
      <c r="D36" s="50"/>
      <c r="E36" s="50" t="s">
        <v>59</v>
      </c>
      <c r="F36" s="80">
        <f>('2018'!F36*Faktor!$B$7)+'2018'!F36</f>
        <v>37.759248800000002</v>
      </c>
      <c r="G36" s="50"/>
      <c r="H36" s="69"/>
    </row>
    <row r="37" spans="1:8" x14ac:dyDescent="0.15">
      <c r="A37" s="68" t="s">
        <v>26</v>
      </c>
      <c r="B37" s="80">
        <f>('2018'!B37*Faktor!$B$7)+'2018'!B37</f>
        <v>6.1203178000000005</v>
      </c>
      <c r="C37" s="50"/>
      <c r="D37" s="50"/>
      <c r="E37" s="50" t="s">
        <v>60</v>
      </c>
      <c r="F37" s="80">
        <f>('2018'!F37*Faktor!$B$7)+'2018'!F37</f>
        <v>32.821500880000002</v>
      </c>
      <c r="G37" s="50"/>
      <c r="H37" s="69"/>
    </row>
    <row r="38" spans="1:8" x14ac:dyDescent="0.15">
      <c r="A38" s="68" t="s">
        <v>27</v>
      </c>
      <c r="B38" s="80">
        <f>('2018'!B38*Faktor!$B$7)+'2018'!B38</f>
        <v>2.6244752599999996</v>
      </c>
      <c r="C38" s="50"/>
      <c r="D38" s="50"/>
      <c r="E38" s="50" t="s">
        <v>61</v>
      </c>
      <c r="F38" s="80">
        <f>('2018'!F38*Faktor!$B$7)+'2018'!F38</f>
        <v>32.821500880000002</v>
      </c>
      <c r="G38" s="50"/>
      <c r="H38" s="69"/>
    </row>
    <row r="39" spans="1:8" x14ac:dyDescent="0.15">
      <c r="A39" s="68" t="s">
        <v>28</v>
      </c>
      <c r="B39" s="80">
        <f>('2018'!B39*Faktor!$B$7)+'2018'!B39</f>
        <v>2.6244752599999996</v>
      </c>
      <c r="C39" s="50"/>
      <c r="D39" s="50"/>
      <c r="E39" s="50" t="s">
        <v>102</v>
      </c>
      <c r="F39" s="80">
        <f>('2018'!F39*Faktor!$B$7)+'2018'!F39</f>
        <v>12.717812919999998</v>
      </c>
      <c r="G39" s="50"/>
      <c r="H39" s="69"/>
    </row>
    <row r="40" spans="1:8" x14ac:dyDescent="0.15">
      <c r="A40" s="68" t="s">
        <v>29</v>
      </c>
      <c r="B40" s="80">
        <f>('2018'!B40*Faktor!$B$7)+'2018'!B40</f>
        <v>2.6244752599999996</v>
      </c>
      <c r="C40" s="50"/>
      <c r="D40" s="50"/>
      <c r="E40" s="50" t="s">
        <v>63</v>
      </c>
      <c r="F40" s="80">
        <f>('2018'!F40*Faktor!$B$7)+'2018'!F40</f>
        <v>2.3962600200000002</v>
      </c>
      <c r="G40" s="50"/>
      <c r="H40" s="69"/>
    </row>
    <row r="41" spans="1:8" x14ac:dyDescent="0.15">
      <c r="A41" s="68" t="s">
        <v>30</v>
      </c>
      <c r="B41" s="80">
        <f>('2018'!B41*Faktor!$B$7)+'2018'!B41</f>
        <v>2.6244752599999996</v>
      </c>
      <c r="C41" s="50"/>
      <c r="D41" s="50"/>
      <c r="E41" s="50" t="s">
        <v>62</v>
      </c>
      <c r="F41" s="80">
        <f>('2018'!F41*Faktor!$B$7)+'2018'!F41</f>
        <v>5.7676215199999996</v>
      </c>
      <c r="G41" s="50"/>
      <c r="H41" s="69"/>
    </row>
    <row r="42" spans="1:8" x14ac:dyDescent="0.15">
      <c r="A42" s="68" t="s">
        <v>31</v>
      </c>
      <c r="B42" s="80">
        <f>('2018'!B42*Faktor!$B$7)+'2018'!B42</f>
        <v>2.6244752599999996</v>
      </c>
      <c r="C42" s="50"/>
      <c r="D42" s="50"/>
      <c r="E42" s="50" t="s">
        <v>120</v>
      </c>
      <c r="F42" s="80">
        <f>('2018'!F42*Faktor!$B$7)+'2018'!F42</f>
        <v>5.3526847200000001</v>
      </c>
      <c r="G42" s="50"/>
      <c r="H42" s="69"/>
    </row>
    <row r="43" spans="1:8" x14ac:dyDescent="0.15">
      <c r="A43" s="68" t="s">
        <v>32</v>
      </c>
      <c r="B43" s="80">
        <f>('2018'!B43*Faktor!$B$7)+'2018'!B43</f>
        <v>2.6244752599999996</v>
      </c>
      <c r="C43" s="50"/>
      <c r="D43" s="50"/>
      <c r="E43" s="50" t="s">
        <v>114</v>
      </c>
      <c r="F43" s="80">
        <f>('2018'!F43*Faktor!$B$7)+'2018'!F43</f>
        <v>255.11351806000002</v>
      </c>
      <c r="G43" s="50"/>
      <c r="H43" s="69"/>
    </row>
    <row r="44" spans="1:8" x14ac:dyDescent="0.15">
      <c r="A44" s="68" t="s">
        <v>98</v>
      </c>
      <c r="B44" s="80">
        <f>('2018'!B44*Faktor!$B$7)+'2018'!B44</f>
        <v>5.2385770999999997</v>
      </c>
      <c r="C44" s="50"/>
      <c r="D44" s="50"/>
      <c r="E44" s="50" t="s">
        <v>115</v>
      </c>
      <c r="F44" s="80">
        <f>('2018'!F44*Faktor!$B$7)+'2018'!F44</f>
        <v>128.84824981999998</v>
      </c>
      <c r="G44" s="50"/>
      <c r="H44" s="69"/>
    </row>
    <row r="45" spans="1:8" x14ac:dyDescent="0.15">
      <c r="A45" s="68" t="s">
        <v>91</v>
      </c>
      <c r="B45" s="80">
        <f>('2018'!B45*Faktor!$B$7)+'2018'!B45</f>
        <v>15.653490779999998</v>
      </c>
      <c r="C45" s="50"/>
      <c r="D45" s="50"/>
      <c r="E45" s="50" t="s">
        <v>122</v>
      </c>
      <c r="F45" s="80">
        <f>('2018'!F45*Faktor!$B$7)+'2018'!F45</f>
        <v>5.2936000000000005</v>
      </c>
      <c r="G45" s="50"/>
      <c r="H45" s="69"/>
    </row>
    <row r="46" spans="1:8" x14ac:dyDescent="0.15">
      <c r="A46" s="68" t="s">
        <v>92</v>
      </c>
      <c r="B46" s="80">
        <f>('2018'!B46*Faktor!$B$7)+'2018'!B46</f>
        <v>15.653490779999998</v>
      </c>
      <c r="C46" s="50"/>
      <c r="D46" s="50"/>
      <c r="E46" s="50" t="s">
        <v>108</v>
      </c>
      <c r="F46" s="80">
        <f>('2018'!F46*Faktor!$B$7)+'2018'!F46</f>
        <v>5.7494688855789464</v>
      </c>
      <c r="G46" s="50"/>
      <c r="H46" s="69"/>
    </row>
    <row r="47" spans="1:8" x14ac:dyDescent="0.15">
      <c r="A47" s="68" t="s">
        <v>93</v>
      </c>
      <c r="B47" s="80">
        <f>('2018'!B47*Faktor!$B$7)+'2018'!B47</f>
        <v>6.7738432599999996</v>
      </c>
      <c r="C47" s="50"/>
      <c r="D47" s="50"/>
      <c r="E47" s="50" t="s">
        <v>65</v>
      </c>
      <c r="F47" s="80">
        <f>('2018'!F47*Faktor!$B$7)+'2018'!F47</f>
        <v>6.9086977200000002</v>
      </c>
      <c r="G47" s="50"/>
      <c r="H47" s="69"/>
    </row>
    <row r="48" spans="1:8" x14ac:dyDescent="0.15">
      <c r="A48" s="68" t="s">
        <v>113</v>
      </c>
      <c r="B48" s="80">
        <f>('2018'!B48*Faktor!$B$7)+'2018'!B48</f>
        <v>23.194967119999998</v>
      </c>
      <c r="C48" s="50"/>
      <c r="D48" s="50"/>
      <c r="E48" s="50" t="s">
        <v>66</v>
      </c>
      <c r="F48" s="80">
        <v>10.35</v>
      </c>
      <c r="G48" s="50"/>
      <c r="H48" s="69"/>
    </row>
    <row r="49" spans="1:8" x14ac:dyDescent="0.15">
      <c r="A49" s="68" t="s">
        <v>33</v>
      </c>
      <c r="B49" s="80">
        <f>('2018'!B49*Faktor!$B$7)+'2018'!B49</f>
        <v>16.234402299999999</v>
      </c>
      <c r="C49" s="50"/>
      <c r="D49" s="50"/>
      <c r="E49" s="83" t="s">
        <v>84</v>
      </c>
      <c r="F49" s="80">
        <f>('2018'!F49*Faktor!$B$7)+'2018'!F49</f>
        <v>10.172973302272011</v>
      </c>
      <c r="G49" s="50"/>
      <c r="H49" s="69"/>
    </row>
    <row r="50" spans="1:8" ht="13.5" thickBot="1" x14ac:dyDescent="0.2">
      <c r="A50" s="68" t="s">
        <v>34</v>
      </c>
      <c r="B50" s="80">
        <f>('2018'!B50*Faktor!$B$7)+'2018'!B50</f>
        <v>12.759306600000002</v>
      </c>
      <c r="C50" s="50"/>
      <c r="D50" s="50"/>
      <c r="E50" s="83" t="s">
        <v>123</v>
      </c>
      <c r="F50" s="80">
        <f>('2018'!F50*Faktor!$B$7)+'2018'!F50</f>
        <v>8.693719999999999</v>
      </c>
      <c r="G50" s="83"/>
      <c r="H50" s="84"/>
    </row>
    <row r="51" spans="1:8" x14ac:dyDescent="0.15">
      <c r="A51" s="68" t="s">
        <v>35</v>
      </c>
      <c r="B51" s="80">
        <f>('2018'!B51*Faktor!$B$7)+'2018'!B51</f>
        <v>9.2945843200000002</v>
      </c>
      <c r="C51" s="50"/>
      <c r="D51" s="85"/>
      <c r="E51" s="60" t="s">
        <v>101</v>
      </c>
      <c r="F51" s="86"/>
      <c r="G51" s="61"/>
      <c r="H51" s="62"/>
    </row>
    <row r="52" spans="1:8" x14ac:dyDescent="0.15">
      <c r="A52" s="68" t="s">
        <v>36</v>
      </c>
      <c r="B52" s="80">
        <f>('2018'!B52*Faktor!$B$7)+'2018'!B52</f>
        <v>5.2904441999999996</v>
      </c>
      <c r="C52" s="50"/>
      <c r="D52" s="85"/>
      <c r="E52" s="68" t="s">
        <v>67</v>
      </c>
      <c r="F52" s="80"/>
      <c r="G52" s="50"/>
      <c r="H52" s="69"/>
    </row>
    <row r="53" spans="1:8" x14ac:dyDescent="0.15">
      <c r="A53" s="68" t="s">
        <v>37</v>
      </c>
      <c r="B53" s="80">
        <f>('2018'!B53*Faktor!$B$7)+'2018'!B53</f>
        <v>5.2904441999999996</v>
      </c>
      <c r="C53" s="50"/>
      <c r="D53" s="85"/>
      <c r="E53" s="68" t="s">
        <v>68</v>
      </c>
      <c r="F53" s="80">
        <v>2.9</v>
      </c>
      <c r="G53" s="50"/>
      <c r="H53" s="69"/>
    </row>
    <row r="54" spans="1:8" x14ac:dyDescent="0.15">
      <c r="A54" s="68" t="s">
        <v>38</v>
      </c>
      <c r="B54" s="80">
        <f>('2018'!B54*Faktor!$B$7)+'2018'!B54</f>
        <v>5.2904441999999996</v>
      </c>
      <c r="C54" s="50"/>
      <c r="D54" s="85"/>
      <c r="E54" s="68" t="s">
        <v>80</v>
      </c>
      <c r="F54" s="80"/>
      <c r="G54" s="50"/>
      <c r="H54" s="69"/>
    </row>
    <row r="55" spans="1:8" x14ac:dyDescent="0.15">
      <c r="A55" s="68" t="s">
        <v>39</v>
      </c>
      <c r="B55" s="80">
        <f>('2018'!B55*Faktor!$B$7)+'2018'!B55</f>
        <v>5.2904441999999996</v>
      </c>
      <c r="C55" s="50"/>
      <c r="D55" s="85"/>
      <c r="E55" s="68"/>
      <c r="F55" s="80"/>
      <c r="G55" s="50"/>
      <c r="H55" s="69"/>
    </row>
    <row r="56" spans="1:8" x14ac:dyDescent="0.15">
      <c r="A56" s="68" t="s">
        <v>40</v>
      </c>
      <c r="B56" s="80">
        <f>('2018'!B56*Faktor!$B$7)+'2018'!B56</f>
        <v>5.2904441999999996</v>
      </c>
      <c r="C56" s="50"/>
      <c r="D56" s="85"/>
      <c r="E56" s="3"/>
      <c r="F56" s="89"/>
      <c r="G56" s="50"/>
      <c r="H56" s="69"/>
    </row>
    <row r="57" spans="1:8" x14ac:dyDescent="0.15">
      <c r="A57" s="68" t="s">
        <v>41</v>
      </c>
      <c r="B57" s="80">
        <f>('2018'!B57*Faktor!$B$7)+'2018'!B57</f>
        <v>23.568410239999999</v>
      </c>
      <c r="C57" s="50"/>
      <c r="D57" s="85"/>
      <c r="E57" s="68" t="s">
        <v>69</v>
      </c>
      <c r="F57" s="80">
        <v>60.48</v>
      </c>
      <c r="G57" s="50"/>
      <c r="H57" s="69"/>
    </row>
    <row r="58" spans="1:8" x14ac:dyDescent="0.15">
      <c r="A58" s="68" t="s">
        <v>42</v>
      </c>
      <c r="B58" s="80">
        <f>('2018'!B58*Faktor!$B$7)+'2018'!B58</f>
        <v>23.568410239999999</v>
      </c>
      <c r="C58" s="50"/>
      <c r="D58" s="85"/>
      <c r="E58" s="68" t="s">
        <v>70</v>
      </c>
      <c r="F58" s="80">
        <v>1.78</v>
      </c>
      <c r="G58" s="50"/>
      <c r="H58" s="69"/>
    </row>
    <row r="59" spans="1:8" x14ac:dyDescent="0.15">
      <c r="A59" s="68" t="s">
        <v>100</v>
      </c>
      <c r="B59" s="80">
        <f>('2018'!B59*Faktor!$B$7)+'2018'!B59</f>
        <v>23.568410239999999</v>
      </c>
      <c r="C59" s="50"/>
      <c r="D59" s="85"/>
      <c r="E59" s="68" t="s">
        <v>71</v>
      </c>
      <c r="F59" s="80"/>
      <c r="G59" s="50"/>
      <c r="H59" s="69"/>
    </row>
    <row r="60" spans="1:8" ht="13.5" thickBot="1" x14ac:dyDescent="0.2">
      <c r="A60" s="75" t="s">
        <v>43</v>
      </c>
      <c r="B60" s="88">
        <f>('2018'!B60*Faktor!$B$7)+'2018'!B60</f>
        <v>23.568410239999999</v>
      </c>
      <c r="C60" s="76"/>
      <c r="D60" s="87"/>
      <c r="E60" s="75" t="s">
        <v>72</v>
      </c>
      <c r="F60" s="88"/>
      <c r="G60" s="76"/>
      <c r="H60" s="77"/>
    </row>
  </sheetData>
  <pageMargins left="0.51181102362204722" right="0.51181102362204722" top="0.55118110236220474" bottom="0.35433070866141736" header="0.31496062992125984" footer="0.31496062992125984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7CA6-5A79-44F9-BE0E-D318DEE8DAD2}">
  <dimension ref="A1:H64"/>
  <sheetViews>
    <sheetView zoomScale="140" zoomScaleNormal="140" workbookViewId="0">
      <selection sqref="A1:H64"/>
    </sheetView>
  </sheetViews>
  <sheetFormatPr defaultColWidth="8.8984375" defaultRowHeight="12.75" x14ac:dyDescent="0.15"/>
  <cols>
    <col min="1" max="1" width="17.39453125" customWidth="1"/>
    <col min="2" max="4" width="8.8984375" customWidth="1"/>
    <col min="5" max="5" width="19.41796875" customWidth="1"/>
  </cols>
  <sheetData>
    <row r="1" spans="1:8" ht="13.5" thickBot="1" x14ac:dyDescent="0.2">
      <c r="A1" s="108"/>
      <c r="B1" s="109"/>
      <c r="C1" s="109"/>
      <c r="D1" s="109"/>
      <c r="E1" s="110" t="s">
        <v>125</v>
      </c>
      <c r="F1" s="109"/>
      <c r="G1" s="109"/>
      <c r="H1" s="111"/>
    </row>
    <row r="2" spans="1:8" x14ac:dyDescent="0.15">
      <c r="A2" s="95" t="s">
        <v>0</v>
      </c>
      <c r="B2" s="56"/>
      <c r="C2" s="57"/>
      <c r="D2" s="58"/>
      <c r="E2" s="93" t="s">
        <v>77</v>
      </c>
      <c r="F2" s="165"/>
      <c r="G2" s="166"/>
      <c r="H2" s="167"/>
    </row>
    <row r="3" spans="1:8" x14ac:dyDescent="0.15">
      <c r="A3" s="96" t="s">
        <v>1</v>
      </c>
      <c r="B3" s="64"/>
      <c r="C3" s="65"/>
      <c r="D3" s="66"/>
      <c r="E3" s="94" t="s">
        <v>126</v>
      </c>
      <c r="F3" s="168"/>
      <c r="G3" s="169"/>
      <c r="H3" s="170"/>
    </row>
    <row r="4" spans="1:8" x14ac:dyDescent="0.15">
      <c r="A4" s="96" t="s">
        <v>2</v>
      </c>
      <c r="B4" s="64"/>
      <c r="C4" s="65"/>
      <c r="D4" s="66"/>
      <c r="E4" s="94" t="s">
        <v>79</v>
      </c>
      <c r="F4" s="168"/>
      <c r="G4" s="169"/>
      <c r="H4" s="170"/>
    </row>
    <row r="5" spans="1:8" x14ac:dyDescent="0.15">
      <c r="A5" s="97" t="s">
        <v>3</v>
      </c>
      <c r="B5" s="64"/>
      <c r="C5" s="65"/>
      <c r="D5" s="66"/>
      <c r="E5" s="67"/>
      <c r="F5" s="168"/>
      <c r="G5" s="169"/>
      <c r="H5" s="170"/>
    </row>
    <row r="6" spans="1:8" ht="13.5" thickBot="1" x14ac:dyDescent="0.2">
      <c r="A6" s="98" t="s">
        <v>76</v>
      </c>
      <c r="B6" s="71"/>
      <c r="C6" s="72"/>
      <c r="D6" s="73"/>
      <c r="E6" s="74"/>
      <c r="F6" s="171"/>
      <c r="G6" s="172"/>
      <c r="H6" s="173"/>
    </row>
    <row r="7" spans="1:8" x14ac:dyDescent="0.15">
      <c r="A7" s="60"/>
      <c r="B7" s="91" t="s">
        <v>73</v>
      </c>
      <c r="C7" s="91" t="s">
        <v>74</v>
      </c>
      <c r="D7" s="91" t="s">
        <v>75</v>
      </c>
      <c r="E7" s="61"/>
      <c r="F7" s="91" t="s">
        <v>73</v>
      </c>
      <c r="G7" s="91" t="s">
        <v>74</v>
      </c>
      <c r="H7" s="92" t="s">
        <v>75</v>
      </c>
    </row>
    <row r="8" spans="1:8" x14ac:dyDescent="0.15">
      <c r="A8" s="68" t="s">
        <v>4</v>
      </c>
      <c r="B8" s="80">
        <f>('2019'!B7*Faktor!$B$8)+'2019'!B7</f>
        <v>2.2983038149400001</v>
      </c>
      <c r="C8" s="50"/>
      <c r="D8" s="50"/>
      <c r="E8" s="50" t="s">
        <v>47</v>
      </c>
      <c r="F8" s="80">
        <f>('2019'!F7*Faktor!$B$8)+'2019'!F7</f>
        <v>13.027252038600002</v>
      </c>
      <c r="G8" s="50"/>
      <c r="H8" s="69"/>
    </row>
    <row r="9" spans="1:8" x14ac:dyDescent="0.15">
      <c r="A9" s="68" t="s">
        <v>5</v>
      </c>
      <c r="B9" s="80">
        <f>('2019'!B8*Faktor!$B$8)+'2019'!B8</f>
        <v>2.2983038149400001</v>
      </c>
      <c r="C9" s="50"/>
      <c r="D9" s="50"/>
      <c r="E9" s="50" t="s">
        <v>99</v>
      </c>
      <c r="F9" s="80">
        <f>('2019'!F8*Faktor!$B$8)+'2019'!F8</f>
        <v>14.70067140616</v>
      </c>
      <c r="G9" s="50"/>
      <c r="H9" s="69"/>
    </row>
    <row r="10" spans="1:8" x14ac:dyDescent="0.15">
      <c r="A10" s="68" t="s">
        <v>54</v>
      </c>
      <c r="B10" s="80">
        <f>('2019'!B9*Faktor!$B$8)+'2019'!B9</f>
        <v>3.8022629933799998</v>
      </c>
      <c r="C10" s="50"/>
      <c r="D10" s="50"/>
      <c r="E10" s="50" t="s">
        <v>45</v>
      </c>
      <c r="F10" s="80">
        <f>('2019'!F9*Faktor!$B$8)+'2019'!F9</f>
        <v>3.4315688296800002</v>
      </c>
      <c r="G10" s="50"/>
      <c r="H10" s="69"/>
    </row>
    <row r="11" spans="1:8" x14ac:dyDescent="0.15">
      <c r="A11" s="68" t="s">
        <v>107</v>
      </c>
      <c r="B11" s="80">
        <f>('2019'!B10*Faktor!$B$8)+'2019'!B10</f>
        <v>1.5278856599999999</v>
      </c>
      <c r="C11" s="50"/>
      <c r="D11" s="50"/>
      <c r="E11" s="50" t="s">
        <v>46</v>
      </c>
      <c r="F11" s="80">
        <f>('2019'!F10*Faktor!$B$8)+'2019'!F10</f>
        <v>13.027252038600002</v>
      </c>
      <c r="G11" s="50"/>
      <c r="H11" s="69"/>
    </row>
    <row r="12" spans="1:8" x14ac:dyDescent="0.15">
      <c r="A12" s="68" t="s">
        <v>6</v>
      </c>
      <c r="B12" s="80">
        <f>('2019'!B11*Faktor!$B$8)+'2019'!B11</f>
        <v>15.982214086379999</v>
      </c>
      <c r="C12" s="50"/>
      <c r="D12" s="50"/>
      <c r="E12" s="50" t="s">
        <v>96</v>
      </c>
      <c r="F12" s="80">
        <f>('2019'!F11*Faktor!$B$8)+'2019'!F11</f>
        <v>3.4315688296800002</v>
      </c>
      <c r="G12" s="50"/>
      <c r="H12" s="69"/>
    </row>
    <row r="13" spans="1:8" x14ac:dyDescent="0.15">
      <c r="A13" s="68" t="s">
        <v>7</v>
      </c>
      <c r="B13" s="80">
        <f>('2019'!B12*Faktor!$B$8)+'2019'!B12</f>
        <v>15.982214086379999</v>
      </c>
      <c r="C13" s="50"/>
      <c r="D13" s="50"/>
      <c r="E13" s="50" t="s">
        <v>48</v>
      </c>
      <c r="F13" s="80">
        <f>('2019'!F12*Faktor!$B$8)+'2019'!F12</f>
        <v>12.254089925739999</v>
      </c>
      <c r="G13" s="50"/>
      <c r="H13" s="69"/>
    </row>
    <row r="14" spans="1:8" x14ac:dyDescent="0.15">
      <c r="A14" s="68" t="s">
        <v>8</v>
      </c>
      <c r="B14" s="80">
        <f>('2019'!B13*Faktor!$B$8)+'2019'!B13</f>
        <v>15.982214086379999</v>
      </c>
      <c r="C14" s="50"/>
      <c r="D14" s="50"/>
      <c r="E14" s="50" t="s">
        <v>94</v>
      </c>
      <c r="F14" s="80">
        <f>('2019'!F13*Faktor!$B$8)+'2019'!F13</f>
        <v>3.4315688296800002</v>
      </c>
      <c r="G14" s="50"/>
      <c r="H14" s="69"/>
    </row>
    <row r="15" spans="1:8" x14ac:dyDescent="0.15">
      <c r="A15" s="68" t="s">
        <v>9</v>
      </c>
      <c r="B15" s="80">
        <f>('2019'!B14*Faktor!$B$8)+'2019'!B14</f>
        <v>15.982214086379999</v>
      </c>
      <c r="C15" s="50"/>
      <c r="D15" s="50"/>
      <c r="E15" s="50" t="s">
        <v>49</v>
      </c>
      <c r="F15" s="80">
        <f>('2019'!F14*Faktor!$B$8)+'2019'!F14</f>
        <v>3.4315688296800002</v>
      </c>
      <c r="G15" s="50"/>
      <c r="H15" s="69"/>
    </row>
    <row r="16" spans="1:8" x14ac:dyDescent="0.15">
      <c r="A16" s="68" t="s">
        <v>10</v>
      </c>
      <c r="B16" s="80">
        <f>('2019'!B15*Faktor!$B$8)+'2019'!B15</f>
        <v>15.982214086379999</v>
      </c>
      <c r="C16" s="50"/>
      <c r="D16" s="50"/>
      <c r="E16" s="50" t="s">
        <v>50</v>
      </c>
      <c r="F16" s="80">
        <f>('2019'!F15*Faktor!$B$8)+'2019'!F15</f>
        <v>3.4315688296800002</v>
      </c>
      <c r="G16" s="50"/>
      <c r="H16" s="69"/>
    </row>
    <row r="17" spans="1:8" x14ac:dyDescent="0.15">
      <c r="A17" s="81" t="s">
        <v>103</v>
      </c>
      <c r="B17" s="80">
        <f>('2019'!B16*Faktor!$B$8)+'2019'!B16</f>
        <v>2.3724426476800002</v>
      </c>
      <c r="C17" s="50"/>
      <c r="D17" s="50"/>
      <c r="E17" s="50" t="s">
        <v>51</v>
      </c>
      <c r="F17" s="80">
        <f>('2019'!F16*Faktor!$B$8)+'2019'!F16</f>
        <v>3.4315688296800002</v>
      </c>
      <c r="G17" s="50"/>
      <c r="H17" s="69"/>
    </row>
    <row r="18" spans="1:8" x14ac:dyDescent="0.15">
      <c r="A18" s="68" t="s">
        <v>11</v>
      </c>
      <c r="B18" s="80">
        <f>('2019'!B17*Faktor!$B$8)+'2019'!B17</f>
        <v>5.4650910991200004</v>
      </c>
      <c r="C18" s="50"/>
      <c r="D18" s="50"/>
      <c r="E18" s="50" t="s">
        <v>52</v>
      </c>
      <c r="F18" s="80">
        <f>('2019'!F17*Faktor!$B$8)+'2019'!F17</f>
        <v>3.4315688296800002</v>
      </c>
      <c r="G18" s="50"/>
      <c r="H18" s="69"/>
    </row>
    <row r="19" spans="1:8" x14ac:dyDescent="0.15">
      <c r="A19" s="68" t="s">
        <v>12</v>
      </c>
      <c r="B19" s="80">
        <f>('2019'!B18*Faktor!$B$8)+'2019'!B18</f>
        <v>5.4650910991200004</v>
      </c>
      <c r="C19" s="50"/>
      <c r="D19" s="50"/>
      <c r="E19" s="50" t="s">
        <v>53</v>
      </c>
      <c r="F19" s="80">
        <f>('2019'!F18*Faktor!$B$8)+'2019'!F18</f>
        <v>3.4315688296800002</v>
      </c>
      <c r="G19" s="50"/>
      <c r="H19" s="69"/>
    </row>
    <row r="20" spans="1:8" x14ac:dyDescent="0.15">
      <c r="A20" s="68" t="s">
        <v>13</v>
      </c>
      <c r="B20" s="80">
        <f>('2019'!B19*Faktor!$B$8)+'2019'!B19</f>
        <v>5.4650910991200004</v>
      </c>
      <c r="C20" s="50"/>
      <c r="D20" s="50"/>
      <c r="E20" s="50" t="s">
        <v>85</v>
      </c>
      <c r="F20" s="80">
        <f>('2019'!F19*Faktor!$B$8)+'2019'!F19</f>
        <v>4.7342940335399994</v>
      </c>
      <c r="G20" s="50"/>
      <c r="H20" s="69"/>
    </row>
    <row r="21" spans="1:8" x14ac:dyDescent="0.15">
      <c r="A21" s="68" t="s">
        <v>14</v>
      </c>
      <c r="B21" s="80">
        <f>('2019'!B20*Faktor!$B$8)+'2019'!B20</f>
        <v>5.4650910991200004</v>
      </c>
      <c r="C21" s="50"/>
      <c r="D21" s="50"/>
      <c r="E21" s="50" t="s">
        <v>86</v>
      </c>
      <c r="F21" s="80">
        <f>('2019'!F20*Faktor!$B$8)+'2019'!F20</f>
        <v>9.4685880670799989</v>
      </c>
      <c r="G21" s="50"/>
      <c r="H21" s="69"/>
    </row>
    <row r="22" spans="1:8" x14ac:dyDescent="0.15">
      <c r="A22" s="68" t="s">
        <v>15</v>
      </c>
      <c r="B22" s="80">
        <f>('2019'!B21*Faktor!$B$8)+'2019'!B21</f>
        <v>5.4650910991200004</v>
      </c>
      <c r="C22" s="50"/>
      <c r="D22" s="50"/>
      <c r="E22" s="50" t="s">
        <v>89</v>
      </c>
      <c r="F22" s="80">
        <f>('2019'!F21*Faktor!$B$8)+'2019'!F21</f>
        <v>14.20288210062</v>
      </c>
      <c r="G22" s="50"/>
      <c r="H22" s="69"/>
    </row>
    <row r="23" spans="1:8" x14ac:dyDescent="0.15">
      <c r="A23" s="68" t="s">
        <v>16</v>
      </c>
      <c r="B23" s="80">
        <f>('2019'!B22*Faktor!$B$8)+'2019'!B22</f>
        <v>5.4650910991200004</v>
      </c>
      <c r="C23" s="50"/>
      <c r="D23" s="50"/>
      <c r="E23" s="50" t="s">
        <v>87</v>
      </c>
      <c r="F23" s="80">
        <f>('2019'!F22*Faktor!$B$8)+'2019'!F22</f>
        <v>18.937176134159998</v>
      </c>
      <c r="G23" s="50"/>
      <c r="H23" s="69"/>
    </row>
    <row r="24" spans="1:8" x14ac:dyDescent="0.15">
      <c r="A24" s="68" t="s">
        <v>17</v>
      </c>
      <c r="B24" s="80">
        <f>('2019'!B23*Faktor!$B$8)+'2019'!B23</f>
        <v>4.10940958616</v>
      </c>
      <c r="C24" s="50"/>
      <c r="D24" s="50"/>
      <c r="E24" s="50" t="s">
        <v>90</v>
      </c>
      <c r="F24" s="80">
        <f>('2019'!F23*Faktor!$B$8)+'2019'!F23</f>
        <v>23.671470167700001</v>
      </c>
      <c r="G24" s="50"/>
      <c r="H24" s="69"/>
    </row>
    <row r="25" spans="1:8" x14ac:dyDescent="0.15">
      <c r="A25" s="68" t="s">
        <v>18</v>
      </c>
      <c r="B25" s="80">
        <f>('2019'!B24*Faktor!$B$8)+'2019'!B24</f>
        <v>4.10940958616</v>
      </c>
      <c r="C25" s="50"/>
      <c r="D25" s="50"/>
      <c r="E25" s="50" t="s">
        <v>88</v>
      </c>
      <c r="F25" s="80">
        <f>('2019'!F24*Faktor!$B$8)+'2019'!F24</f>
        <v>28.40576420124</v>
      </c>
      <c r="G25" s="50"/>
      <c r="H25" s="69"/>
    </row>
    <row r="26" spans="1:8" x14ac:dyDescent="0.15">
      <c r="A26" s="68" t="s">
        <v>19</v>
      </c>
      <c r="B26" s="80">
        <f>('2019'!B25*Faktor!$B$8)+'2019'!B25</f>
        <v>4.10940958616</v>
      </c>
      <c r="C26" s="50"/>
      <c r="D26" s="50"/>
      <c r="E26" s="82" t="s">
        <v>97</v>
      </c>
      <c r="F26" s="80">
        <f>('2019'!F25*Faktor!$B$8)+'2019'!F25</f>
        <v>7.0537803721200003</v>
      </c>
      <c r="G26" s="50"/>
      <c r="H26" s="69"/>
    </row>
    <row r="27" spans="1:8" x14ac:dyDescent="0.15">
      <c r="A27" s="68" t="s">
        <v>112</v>
      </c>
      <c r="B27" s="80">
        <f>('2019'!B26*Faktor!$B$8)+'2019'!B26</f>
        <v>4.10940958616</v>
      </c>
      <c r="C27" s="50"/>
      <c r="D27" s="50"/>
      <c r="E27" s="82" t="s">
        <v>81</v>
      </c>
      <c r="F27" s="80">
        <f>('2019'!F26*Faktor!$B$8)+'2019'!F26</f>
        <v>8.8225210960599991</v>
      </c>
      <c r="G27" s="50"/>
      <c r="H27" s="69"/>
    </row>
    <row r="28" spans="1:8" x14ac:dyDescent="0.15">
      <c r="A28" s="68" t="s">
        <v>20</v>
      </c>
      <c r="B28" s="80">
        <f>('2019'!B27*Faktor!$B$8)+'2019'!B27</f>
        <v>4.10940958616</v>
      </c>
      <c r="C28" s="50"/>
      <c r="D28" s="50"/>
      <c r="E28" s="50" t="s">
        <v>106</v>
      </c>
      <c r="F28" s="80">
        <f>('2019'!F27*Faktor!$B$8)+'2019'!F27</f>
        <v>8.7411689799999994</v>
      </c>
      <c r="G28" s="50"/>
      <c r="H28" s="69"/>
    </row>
    <row r="29" spans="1:8" x14ac:dyDescent="0.15">
      <c r="A29" s="68" t="s">
        <v>21</v>
      </c>
      <c r="B29" s="80">
        <f>('2019'!B28*Faktor!$B$8)+'2019'!B28</f>
        <v>8.6636521687599988</v>
      </c>
      <c r="C29" s="50"/>
      <c r="D29" s="50"/>
      <c r="E29" s="50" t="s">
        <v>44</v>
      </c>
      <c r="F29" s="80">
        <f>('2019'!F28*Faktor!$B$8)+'2019'!F28</f>
        <v>5.1968899999999998</v>
      </c>
      <c r="G29" s="50"/>
      <c r="H29" s="69"/>
    </row>
    <row r="30" spans="1:8" x14ac:dyDescent="0.15">
      <c r="A30" s="68" t="s">
        <v>22</v>
      </c>
      <c r="B30" s="80">
        <f>('2019'!B29*Faktor!$B$8)+'2019'!B29</f>
        <v>8.6636521687599988</v>
      </c>
      <c r="C30" s="50"/>
      <c r="D30" s="50"/>
      <c r="E30" s="50" t="s">
        <v>110</v>
      </c>
      <c r="F30" s="80">
        <f>('2019'!F29*Faktor!$B$8)+'2019'!F29</f>
        <v>3.5480727097000004</v>
      </c>
      <c r="G30" s="50"/>
      <c r="H30" s="69"/>
    </row>
    <row r="31" spans="1:8" x14ac:dyDescent="0.15">
      <c r="A31" s="81" t="s">
        <v>119</v>
      </c>
      <c r="B31" s="80">
        <f>('2019'!B30*Faktor!$B$8)+'2019'!B30</f>
        <v>8.6684125199999986</v>
      </c>
      <c r="C31" s="50"/>
      <c r="D31" s="50"/>
      <c r="E31" s="50" t="s">
        <v>82</v>
      </c>
      <c r="F31" s="80">
        <f>('2019'!F30*Faktor!$B$8)+'2019'!F30</f>
        <v>44.112605480299997</v>
      </c>
      <c r="G31" s="50"/>
      <c r="H31" s="69"/>
    </row>
    <row r="32" spans="1:8" x14ac:dyDescent="0.15">
      <c r="A32" s="68" t="s">
        <v>104</v>
      </c>
      <c r="B32" s="80">
        <f>('2019'!B31*Faktor!$B$8)+'2019'!B31</f>
        <v>5.4650910991200004</v>
      </c>
      <c r="C32" s="50"/>
      <c r="D32" s="50"/>
      <c r="E32" s="50" t="s">
        <v>83</v>
      </c>
      <c r="F32" s="80">
        <f>('2019'!F31*Faktor!$B$8)+'2019'!F31</f>
        <v>11.03609481644</v>
      </c>
      <c r="G32" s="50"/>
      <c r="H32" s="69"/>
    </row>
    <row r="33" spans="1:8" x14ac:dyDescent="0.15">
      <c r="A33" s="68" t="s">
        <v>105</v>
      </c>
      <c r="B33" s="80">
        <f>('2019'!B32*Faktor!$B$8)+'2019'!B32</f>
        <v>4.10940958616</v>
      </c>
      <c r="C33" s="50"/>
      <c r="D33" s="50"/>
      <c r="E33" s="50" t="s">
        <v>55</v>
      </c>
      <c r="F33" s="80">
        <f>('2019'!F32*Faktor!$B$8)+'2019'!F32</f>
        <v>21.616568359695748</v>
      </c>
      <c r="G33" s="50"/>
      <c r="H33" s="69"/>
    </row>
    <row r="34" spans="1:8" x14ac:dyDescent="0.15">
      <c r="A34" s="68" t="s">
        <v>23</v>
      </c>
      <c r="B34" s="80">
        <f>('2019'!B33*Faktor!$B$8)+'2019'!B33</f>
        <v>3.8869930879399996</v>
      </c>
      <c r="C34" s="50"/>
      <c r="D34" s="50"/>
      <c r="E34" s="50" t="s">
        <v>56</v>
      </c>
      <c r="F34" s="80">
        <f>('2019'!F33*Faktor!$B$8)+'2019'!F33</f>
        <v>2.9406522665910542</v>
      </c>
      <c r="G34" s="50"/>
      <c r="H34" s="69"/>
    </row>
    <row r="35" spans="1:8" x14ac:dyDescent="0.15">
      <c r="A35" s="68" t="s">
        <v>24</v>
      </c>
      <c r="B35" s="80">
        <f>('2019'!B34*Faktor!$B$8)+'2019'!B34</f>
        <v>3.8869930879399996</v>
      </c>
      <c r="C35" s="50"/>
      <c r="D35" s="50"/>
      <c r="E35" s="50" t="s">
        <v>57</v>
      </c>
      <c r="F35" s="80">
        <f>('2019'!F34*Faktor!$B$8)+'2019'!F34</f>
        <v>8.1339551374009158</v>
      </c>
      <c r="G35" s="50"/>
      <c r="H35" s="69"/>
    </row>
    <row r="36" spans="1:8" x14ac:dyDescent="0.15">
      <c r="A36" s="68" t="s">
        <v>64</v>
      </c>
      <c r="B36" s="80">
        <f>('2019'!B35*Faktor!$B$8)+'2019'!B35</f>
        <v>2.5138254864452749</v>
      </c>
      <c r="C36" s="50"/>
      <c r="D36" s="50"/>
      <c r="E36" s="50" t="s">
        <v>58</v>
      </c>
      <c r="F36" s="80">
        <f>('2019'!F35*Faktor!$B$8)+'2019'!F35</f>
        <v>8.1339551374009158</v>
      </c>
      <c r="G36" s="50"/>
      <c r="H36" s="69"/>
    </row>
    <row r="37" spans="1:8" x14ac:dyDescent="0.15">
      <c r="A37" s="68" t="s">
        <v>25</v>
      </c>
      <c r="B37" s="80">
        <f>('2019'!B36*Faktor!$B$8)+'2019'!B36</f>
        <v>6.2488444738000002</v>
      </c>
      <c r="C37" s="50"/>
      <c r="D37" s="50"/>
      <c r="E37" s="50" t="s">
        <v>59</v>
      </c>
      <c r="F37" s="80">
        <f>('2019'!F36*Faktor!$B$8)+'2019'!F36</f>
        <v>38.552193024800005</v>
      </c>
      <c r="G37" s="50"/>
      <c r="H37" s="69"/>
    </row>
    <row r="38" spans="1:8" x14ac:dyDescent="0.15">
      <c r="A38" s="68" t="s">
        <v>26</v>
      </c>
      <c r="B38" s="80">
        <f>('2019'!B37*Faktor!$B$8)+'2019'!B37</f>
        <v>6.2488444738000002</v>
      </c>
      <c r="C38" s="50"/>
      <c r="D38" s="50"/>
      <c r="E38" s="50" t="s">
        <v>60</v>
      </c>
      <c r="F38" s="80">
        <f>('2019'!F37*Faktor!$B$8)+'2019'!F37</f>
        <v>33.510752398480001</v>
      </c>
      <c r="G38" s="50"/>
      <c r="H38" s="69"/>
    </row>
    <row r="39" spans="1:8" x14ac:dyDescent="0.15">
      <c r="A39" s="68" t="s">
        <v>27</v>
      </c>
      <c r="B39" s="80">
        <f>('2019'!B38*Faktor!$B$8)+'2019'!B38</f>
        <v>2.6795892404599995</v>
      </c>
      <c r="C39" s="50"/>
      <c r="D39" s="50"/>
      <c r="E39" s="50" t="s">
        <v>61</v>
      </c>
      <c r="F39" s="80">
        <f>('2019'!F38*Faktor!$B$8)+'2019'!F38</f>
        <v>33.510752398480001</v>
      </c>
      <c r="G39" s="50"/>
      <c r="H39" s="69"/>
    </row>
    <row r="40" spans="1:8" x14ac:dyDescent="0.15">
      <c r="A40" s="68" t="s">
        <v>28</v>
      </c>
      <c r="B40" s="80">
        <f>('2019'!B39*Faktor!$B$8)+'2019'!B39</f>
        <v>2.6795892404599995</v>
      </c>
      <c r="C40" s="50"/>
      <c r="D40" s="50"/>
      <c r="E40" s="50" t="s">
        <v>102</v>
      </c>
      <c r="F40" s="80">
        <f>('2019'!F39*Faktor!$B$8)+'2019'!F39</f>
        <v>12.984886991319998</v>
      </c>
      <c r="G40" s="50"/>
      <c r="H40" s="69"/>
    </row>
    <row r="41" spans="1:8" x14ac:dyDescent="0.15">
      <c r="A41" s="68" t="s">
        <v>29</v>
      </c>
      <c r="B41" s="80">
        <f>('2019'!B40*Faktor!$B$8)+'2019'!B40</f>
        <v>2.6795892404599995</v>
      </c>
      <c r="C41" s="50"/>
      <c r="D41" s="50"/>
      <c r="E41" s="50" t="s">
        <v>63</v>
      </c>
      <c r="F41" s="80">
        <f>('2019'!F40*Faktor!$B$8)+'2019'!F40</f>
        <v>2.4465814804200003</v>
      </c>
      <c r="G41" s="50"/>
      <c r="H41" s="69"/>
    </row>
    <row r="42" spans="1:8" x14ac:dyDescent="0.15">
      <c r="A42" s="68" t="s">
        <v>30</v>
      </c>
      <c r="B42" s="80">
        <f>('2019'!B41*Faktor!$B$8)+'2019'!B41</f>
        <v>2.6795892404599995</v>
      </c>
      <c r="C42" s="50"/>
      <c r="D42" s="50"/>
      <c r="E42" s="50" t="s">
        <v>62</v>
      </c>
      <c r="F42" s="80">
        <f>('2019'!F41*Faktor!$B$8)+'2019'!F41</f>
        <v>5.8887415719199998</v>
      </c>
      <c r="G42" s="50"/>
      <c r="H42" s="69"/>
    </row>
    <row r="43" spans="1:8" x14ac:dyDescent="0.15">
      <c r="A43" s="68" t="s">
        <v>31</v>
      </c>
      <c r="B43" s="80">
        <f>('2019'!B42*Faktor!$B$8)+'2019'!B42</f>
        <v>2.6795892404599995</v>
      </c>
      <c r="C43" s="50"/>
      <c r="D43" s="50"/>
      <c r="E43" s="50" t="s">
        <v>120</v>
      </c>
      <c r="F43" s="80">
        <f>('2019'!F42*Faktor!$B$8)+'2019'!F42</f>
        <v>5.4650910991200004</v>
      </c>
      <c r="G43" s="50"/>
      <c r="H43" s="69"/>
    </row>
    <row r="44" spans="1:8" x14ac:dyDescent="0.15">
      <c r="A44" s="68" t="s">
        <v>32</v>
      </c>
      <c r="B44" s="80">
        <f>('2019'!B43*Faktor!$B$8)+'2019'!B43</f>
        <v>2.6795892404599995</v>
      </c>
      <c r="C44" s="50"/>
      <c r="D44" s="50"/>
      <c r="E44" s="50" t="s">
        <v>114</v>
      </c>
      <c r="F44" s="80">
        <f>('2019'!F43*Faktor!$B$8)+'2019'!F43</f>
        <v>260.47090193926005</v>
      </c>
      <c r="G44" s="50"/>
      <c r="H44" s="69"/>
    </row>
    <row r="45" spans="1:8" x14ac:dyDescent="0.15">
      <c r="A45" s="68" t="s">
        <v>98</v>
      </c>
      <c r="B45" s="80">
        <f>('2019'!B44*Faktor!$B$8)+'2019'!B44</f>
        <v>5.3485872190999997</v>
      </c>
      <c r="C45" s="50"/>
      <c r="D45" s="50"/>
      <c r="E45" s="50" t="s">
        <v>115</v>
      </c>
      <c r="F45" s="80">
        <f>('2019'!F44*Faktor!$B$8)+'2019'!F44</f>
        <v>131.55406306621998</v>
      </c>
      <c r="G45" s="50"/>
      <c r="H45" s="69"/>
    </row>
    <row r="46" spans="1:8" x14ac:dyDescent="0.15">
      <c r="A46" s="68" t="s">
        <v>91</v>
      </c>
      <c r="B46" s="80">
        <f>('2019'!B45*Faktor!$B$8)+'2019'!B45</f>
        <v>15.982214086379999</v>
      </c>
      <c r="C46" s="50"/>
      <c r="D46" s="50"/>
      <c r="E46" s="50" t="s">
        <v>122</v>
      </c>
      <c r="F46" s="80">
        <f>('2019'!F45*Faktor!$B$8)+'2019'!F45</f>
        <v>5.4047656000000002</v>
      </c>
      <c r="G46" s="50"/>
      <c r="H46" s="69"/>
    </row>
    <row r="47" spans="1:8" x14ac:dyDescent="0.15">
      <c r="A47" s="68" t="s">
        <v>92</v>
      </c>
      <c r="B47" s="80">
        <f>('2019'!B46*Faktor!$B$8)+'2019'!B46</f>
        <v>15.982214086379999</v>
      </c>
      <c r="C47" s="50"/>
      <c r="D47" s="50"/>
      <c r="E47" s="50" t="s">
        <v>108</v>
      </c>
      <c r="F47" s="80">
        <f>('2019'!F46*Faktor!$B$8)+'2019'!F46</f>
        <v>5.8702077321761044</v>
      </c>
      <c r="G47" s="50"/>
      <c r="H47" s="69"/>
    </row>
    <row r="48" spans="1:8" x14ac:dyDescent="0.15">
      <c r="A48" s="68" t="s">
        <v>93</v>
      </c>
      <c r="B48" s="80">
        <f>('2019'!B47*Faktor!$B$8)+'2019'!B47</f>
        <v>6.9160939684599994</v>
      </c>
      <c r="C48" s="50"/>
      <c r="D48" s="50"/>
      <c r="E48" s="50" t="s">
        <v>65</v>
      </c>
      <c r="F48" s="80">
        <f>('2019'!F47*Faktor!$B$8)+'2019'!F47</f>
        <v>7.0537803721200003</v>
      </c>
      <c r="G48" s="50"/>
      <c r="H48" s="69"/>
    </row>
    <row r="49" spans="1:8" x14ac:dyDescent="0.15">
      <c r="A49" s="68" t="s">
        <v>113</v>
      </c>
      <c r="B49" s="80">
        <f>('2019'!B48*Faktor!$B$8)+'2019'!B48</f>
        <v>23.682061429519997</v>
      </c>
      <c r="C49" s="50"/>
      <c r="D49" s="50"/>
      <c r="E49" s="50" t="s">
        <v>66</v>
      </c>
      <c r="F49" s="80">
        <f>('2019'!F48*Faktor!$B$8)+'2019'!F48</f>
        <v>10.567349999999999</v>
      </c>
      <c r="G49" s="50"/>
      <c r="H49" s="69"/>
    </row>
    <row r="50" spans="1:8" x14ac:dyDescent="0.15">
      <c r="A50" s="68" t="s">
        <v>33</v>
      </c>
      <c r="B50" s="80">
        <f>('2019'!B49*Faktor!$B$8)+'2019'!B49</f>
        <v>16.575324748299998</v>
      </c>
      <c r="C50" s="50"/>
      <c r="D50" s="50"/>
      <c r="E50" s="83" t="s">
        <v>84</v>
      </c>
      <c r="F50" s="80">
        <f>('2019'!F49*Faktor!$B$8)+'2019'!F49</f>
        <v>10.386605741619723</v>
      </c>
      <c r="G50" s="50"/>
      <c r="H50" s="69"/>
    </row>
    <row r="51" spans="1:8" ht="13.5" thickBot="1" x14ac:dyDescent="0.2">
      <c r="A51" s="68" t="s">
        <v>34</v>
      </c>
      <c r="B51" s="80">
        <f>('2019'!B50*Faktor!$B$8)+'2019'!B50</f>
        <v>13.027252038600002</v>
      </c>
      <c r="C51" s="50"/>
      <c r="D51" s="50"/>
      <c r="E51" s="83" t="s">
        <v>123</v>
      </c>
      <c r="F51" s="90">
        <f>('2019'!F50*Faktor!$B$8)+'2019'!F50</f>
        <v>8.8762881199999981</v>
      </c>
      <c r="G51" s="83"/>
      <c r="H51" s="84"/>
    </row>
    <row r="52" spans="1:8" x14ac:dyDescent="0.15">
      <c r="A52" s="68" t="s">
        <v>35</v>
      </c>
      <c r="B52" s="80">
        <f>('2019'!B51*Faktor!$B$8)+'2019'!B51</f>
        <v>9.489770590720001</v>
      </c>
      <c r="C52" s="50"/>
      <c r="D52" s="85"/>
      <c r="E52" s="60" t="s">
        <v>101</v>
      </c>
      <c r="F52" s="86"/>
      <c r="G52" s="61"/>
      <c r="H52" s="62"/>
    </row>
    <row r="53" spans="1:8" x14ac:dyDescent="0.15">
      <c r="A53" s="68" t="s">
        <v>36</v>
      </c>
      <c r="B53" s="80">
        <f>('2019'!B52*Faktor!$B$8)+'2019'!B52</f>
        <v>5.4015435281999995</v>
      </c>
      <c r="C53" s="50"/>
      <c r="D53" s="85"/>
      <c r="E53" s="68" t="s">
        <v>67</v>
      </c>
      <c r="F53" s="80"/>
      <c r="G53" s="50"/>
      <c r="H53" s="69"/>
    </row>
    <row r="54" spans="1:8" x14ac:dyDescent="0.15">
      <c r="A54" s="68" t="s">
        <v>37</v>
      </c>
      <c r="B54" s="80">
        <f>('2019'!B53*Faktor!$B$8)+'2019'!B53</f>
        <v>5.4015435281999995</v>
      </c>
      <c r="C54" s="50"/>
      <c r="D54" s="85"/>
      <c r="E54" s="68" t="s">
        <v>68</v>
      </c>
      <c r="F54" s="80">
        <f>('2019'!F53*Faktor!$B$8)+'2019'!F53</f>
        <v>2.9609000000000001</v>
      </c>
      <c r="G54" s="50"/>
      <c r="H54" s="69"/>
    </row>
    <row r="55" spans="1:8" x14ac:dyDescent="0.15">
      <c r="A55" s="68" t="s">
        <v>38</v>
      </c>
      <c r="B55" s="80">
        <f>('2019'!B54*Faktor!$B$8)+'2019'!B54</f>
        <v>5.4015435281999995</v>
      </c>
      <c r="C55" s="50"/>
      <c r="D55" s="85"/>
      <c r="E55" s="68" t="s">
        <v>80</v>
      </c>
      <c r="F55" s="80"/>
      <c r="G55" s="50"/>
      <c r="H55" s="69"/>
    </row>
    <row r="56" spans="1:8" x14ac:dyDescent="0.15">
      <c r="A56" s="68" t="s">
        <v>39</v>
      </c>
      <c r="B56" s="80">
        <f>('2019'!B55*Faktor!$B$8)+'2019'!B55</f>
        <v>5.4015435281999995</v>
      </c>
      <c r="C56" s="50"/>
      <c r="D56" s="85"/>
      <c r="E56" s="3" t="s">
        <v>124</v>
      </c>
      <c r="F56" s="80">
        <v>9.15</v>
      </c>
      <c r="G56" s="50"/>
      <c r="H56" s="69"/>
    </row>
    <row r="57" spans="1:8" x14ac:dyDescent="0.15">
      <c r="A57" s="68" t="s">
        <v>40</v>
      </c>
      <c r="B57" s="80">
        <f>('2019'!B56*Faktor!$B$8)+'2019'!B56</f>
        <v>5.4015435281999995</v>
      </c>
      <c r="C57" s="50"/>
      <c r="D57" s="85"/>
      <c r="E57" s="68" t="s">
        <v>69</v>
      </c>
      <c r="F57" s="80">
        <f>('2019'!F57*Faktor!$B$8)+'2019'!F57</f>
        <v>61.750079999999997</v>
      </c>
      <c r="G57" s="50"/>
      <c r="H57" s="69"/>
    </row>
    <row r="58" spans="1:8" x14ac:dyDescent="0.15">
      <c r="A58" s="68" t="s">
        <v>41</v>
      </c>
      <c r="B58" s="80">
        <f>('2019'!B57*Faktor!$B$8)+'2019'!B57</f>
        <v>24.063346855039999</v>
      </c>
      <c r="C58" s="50"/>
      <c r="D58" s="85"/>
      <c r="E58" s="68" t="s">
        <v>70</v>
      </c>
      <c r="F58" s="80">
        <v>1.81</v>
      </c>
      <c r="G58" s="50"/>
      <c r="H58" s="69"/>
    </row>
    <row r="59" spans="1:8" x14ac:dyDescent="0.15">
      <c r="A59" s="68" t="s">
        <v>42</v>
      </c>
      <c r="B59" s="80">
        <f>('2019'!B58*Faktor!$B$8)+'2019'!B58</f>
        <v>24.063346855039999</v>
      </c>
      <c r="C59" s="50"/>
      <c r="D59" s="85"/>
      <c r="E59" s="68" t="s">
        <v>71</v>
      </c>
      <c r="F59" s="80"/>
      <c r="G59" s="50"/>
      <c r="H59" s="69"/>
    </row>
    <row r="60" spans="1:8" x14ac:dyDescent="0.15">
      <c r="A60" s="68" t="s">
        <v>100</v>
      </c>
      <c r="B60" s="80">
        <f>('2019'!B59*Faktor!$B$8)+'2019'!B59</f>
        <v>24.063346855039999</v>
      </c>
      <c r="C60" s="50"/>
      <c r="D60" s="85"/>
      <c r="E60" s="68" t="s">
        <v>72</v>
      </c>
      <c r="F60" s="80"/>
      <c r="G60" s="50"/>
      <c r="H60" s="69"/>
    </row>
    <row r="61" spans="1:8" ht="13.5" thickBot="1" x14ac:dyDescent="0.2">
      <c r="A61" s="5" t="s">
        <v>43</v>
      </c>
      <c r="B61" s="6">
        <v>24.06</v>
      </c>
      <c r="C61" s="76"/>
      <c r="D61" s="87"/>
      <c r="E61" s="5"/>
      <c r="F61" s="6"/>
      <c r="G61" s="76"/>
      <c r="H61" s="77"/>
    </row>
    <row r="62" spans="1:8" x14ac:dyDescent="0.15">
      <c r="A62" s="99" t="s">
        <v>127</v>
      </c>
      <c r="B62" s="100"/>
      <c r="C62" s="100"/>
      <c r="D62" s="100"/>
      <c r="E62" s="100"/>
      <c r="F62" s="100"/>
      <c r="G62" s="100"/>
      <c r="H62" s="101"/>
    </row>
    <row r="63" spans="1:8" x14ac:dyDescent="0.15">
      <c r="A63" s="102"/>
      <c r="B63" s="103"/>
      <c r="C63" s="103"/>
      <c r="D63" s="103"/>
      <c r="E63" s="103"/>
      <c r="F63" s="103"/>
      <c r="G63" s="103"/>
      <c r="H63" s="104"/>
    </row>
    <row r="64" spans="1:8" ht="13.5" thickBot="1" x14ac:dyDescent="0.2">
      <c r="A64" s="105"/>
      <c r="B64" s="106"/>
      <c r="C64" s="106"/>
      <c r="D64" s="106"/>
      <c r="E64" s="106"/>
      <c r="F64" s="106"/>
      <c r="G64" s="106"/>
      <c r="H64" s="107"/>
    </row>
  </sheetData>
  <mergeCells count="5">
    <mergeCell ref="F2:H2"/>
    <mergeCell ref="F3:H3"/>
    <mergeCell ref="F4:H4"/>
    <mergeCell ref="F5:H5"/>
    <mergeCell ref="F6:H6"/>
  </mergeCells>
  <pageMargins left="0.62992125984251968" right="0.23622047244094491" top="0.39370078740157483" bottom="0.15748031496062992" header="0.31496062992125984" footer="0.31496062992125984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77B3-DA2C-4C70-B610-FE0D2949693C}">
  <dimension ref="A1:H64"/>
  <sheetViews>
    <sheetView zoomScale="160" zoomScaleNormal="160" workbookViewId="0">
      <selection activeCell="F29" sqref="F29"/>
    </sheetView>
  </sheetViews>
  <sheetFormatPr defaultColWidth="8.8984375" defaultRowHeight="12.75" x14ac:dyDescent="0.15"/>
  <cols>
    <col min="1" max="1" width="16.046875" customWidth="1"/>
    <col min="2" max="2" width="7.28125" customWidth="1"/>
    <col min="3" max="4" width="8.8984375" customWidth="1"/>
    <col min="5" max="5" width="15.37109375" customWidth="1"/>
    <col min="6" max="6" width="6.47265625" customWidth="1"/>
  </cols>
  <sheetData>
    <row r="1" spans="1:8" ht="13.5" thickBot="1" x14ac:dyDescent="0.2">
      <c r="A1" s="108"/>
      <c r="B1" s="109"/>
      <c r="C1" s="109"/>
      <c r="D1" s="109"/>
      <c r="E1" s="110" t="s">
        <v>128</v>
      </c>
      <c r="F1" s="109"/>
      <c r="G1" s="109"/>
      <c r="H1" s="111"/>
    </row>
    <row r="2" spans="1:8" x14ac:dyDescent="0.15">
      <c r="A2" s="95" t="s">
        <v>0</v>
      </c>
      <c r="B2" s="56"/>
      <c r="C2" s="57"/>
      <c r="D2" s="58"/>
      <c r="E2" s="93" t="s">
        <v>77</v>
      </c>
      <c r="F2" s="165"/>
      <c r="G2" s="166"/>
      <c r="H2" s="167"/>
    </row>
    <row r="3" spans="1:8" x14ac:dyDescent="0.15">
      <c r="A3" s="96" t="s">
        <v>1</v>
      </c>
      <c r="B3" s="64"/>
      <c r="C3" s="65"/>
      <c r="D3" s="66"/>
      <c r="E3" s="94" t="s">
        <v>126</v>
      </c>
      <c r="F3" s="168"/>
      <c r="G3" s="169"/>
      <c r="H3" s="170"/>
    </row>
    <row r="4" spans="1:8" x14ac:dyDescent="0.15">
      <c r="A4" s="96" t="s">
        <v>2</v>
      </c>
      <c r="B4" s="64"/>
      <c r="C4" s="65"/>
      <c r="D4" s="66"/>
      <c r="E4" s="94" t="s">
        <v>76</v>
      </c>
      <c r="F4" s="168"/>
      <c r="G4" s="169"/>
      <c r="H4" s="170"/>
    </row>
    <row r="5" spans="1:8" x14ac:dyDescent="0.15">
      <c r="A5" s="97" t="s">
        <v>3</v>
      </c>
      <c r="B5" s="64"/>
      <c r="C5" s="65"/>
      <c r="D5" s="66"/>
      <c r="E5" s="67"/>
      <c r="F5" s="168"/>
      <c r="G5" s="169"/>
      <c r="H5" s="170"/>
    </row>
    <row r="6" spans="1:8" ht="13.5" thickBot="1" x14ac:dyDescent="0.2">
      <c r="A6" s="98"/>
      <c r="B6" s="71"/>
      <c r="C6" s="72"/>
      <c r="D6" s="73"/>
      <c r="E6" s="74"/>
      <c r="F6" s="171"/>
      <c r="G6" s="172"/>
      <c r="H6" s="173"/>
    </row>
    <row r="7" spans="1:8" x14ac:dyDescent="0.15">
      <c r="A7" s="60"/>
      <c r="B7" s="91" t="s">
        <v>73</v>
      </c>
      <c r="C7" s="91" t="s">
        <v>74</v>
      </c>
      <c r="D7" s="91" t="s">
        <v>75</v>
      </c>
      <c r="E7" s="61"/>
      <c r="F7" s="91" t="s">
        <v>73</v>
      </c>
      <c r="G7" s="91" t="s">
        <v>74</v>
      </c>
      <c r="H7" s="92" t="s">
        <v>75</v>
      </c>
    </row>
    <row r="8" spans="1:8" x14ac:dyDescent="0.15">
      <c r="A8" s="68" t="s">
        <v>4</v>
      </c>
      <c r="B8" s="80">
        <v>2.36</v>
      </c>
      <c r="C8" s="50"/>
      <c r="D8" s="50"/>
      <c r="E8" s="50" t="s">
        <v>47</v>
      </c>
      <c r="F8" s="80">
        <v>13.34</v>
      </c>
      <c r="G8" s="50"/>
      <c r="H8" s="69"/>
    </row>
    <row r="9" spans="1:8" x14ac:dyDescent="0.15">
      <c r="A9" s="68" t="s">
        <v>5</v>
      </c>
      <c r="B9" s="80">
        <v>2.36</v>
      </c>
      <c r="C9" s="50"/>
      <c r="D9" s="50"/>
      <c r="E9" s="50" t="s">
        <v>99</v>
      </c>
      <c r="F9" s="80">
        <v>15.05</v>
      </c>
      <c r="G9" s="50"/>
      <c r="H9" s="69"/>
    </row>
    <row r="10" spans="1:8" x14ac:dyDescent="0.15">
      <c r="A10" s="68" t="s">
        <v>54</v>
      </c>
      <c r="B10" s="80">
        <v>3.89</v>
      </c>
      <c r="C10" s="50"/>
      <c r="D10" s="50"/>
      <c r="E10" s="50" t="s">
        <v>45</v>
      </c>
      <c r="F10" s="80">
        <v>3.51</v>
      </c>
      <c r="G10" s="50"/>
      <c r="H10" s="69"/>
    </row>
    <row r="11" spans="1:8" x14ac:dyDescent="0.15">
      <c r="A11" s="68" t="s">
        <v>107</v>
      </c>
      <c r="B11" s="80">
        <v>1.56</v>
      </c>
      <c r="C11" s="50"/>
      <c r="D11" s="50"/>
      <c r="E11" s="50" t="s">
        <v>46</v>
      </c>
      <c r="F11" s="80">
        <v>13.34</v>
      </c>
      <c r="G11" s="50"/>
      <c r="H11" s="69"/>
    </row>
    <row r="12" spans="1:8" x14ac:dyDescent="0.15">
      <c r="A12" s="68" t="s">
        <v>6</v>
      </c>
      <c r="B12" s="80">
        <v>16.37</v>
      </c>
      <c r="C12" s="50"/>
      <c r="D12" s="50"/>
      <c r="E12" s="50" t="s">
        <v>96</v>
      </c>
      <c r="F12" s="80">
        <v>3.51</v>
      </c>
      <c r="G12" s="50"/>
      <c r="H12" s="69"/>
    </row>
    <row r="13" spans="1:8" x14ac:dyDescent="0.15">
      <c r="A13" s="68" t="s">
        <v>7</v>
      </c>
      <c r="B13" s="80">
        <v>16.37</v>
      </c>
      <c r="C13" s="50"/>
      <c r="D13" s="50"/>
      <c r="E13" s="50" t="s">
        <v>48</v>
      </c>
      <c r="F13" s="80">
        <v>12.55</v>
      </c>
      <c r="G13" s="50"/>
      <c r="H13" s="69"/>
    </row>
    <row r="14" spans="1:8" x14ac:dyDescent="0.15">
      <c r="A14" s="68" t="s">
        <v>8</v>
      </c>
      <c r="B14" s="80">
        <v>16.37</v>
      </c>
      <c r="C14" s="50"/>
      <c r="D14" s="50"/>
      <c r="E14" s="50" t="s">
        <v>94</v>
      </c>
      <c r="F14" s="80">
        <v>3.51</v>
      </c>
      <c r="G14" s="50"/>
      <c r="H14" s="69"/>
    </row>
    <row r="15" spans="1:8" x14ac:dyDescent="0.15">
      <c r="A15" s="68" t="s">
        <v>9</v>
      </c>
      <c r="B15" s="80">
        <v>16.37</v>
      </c>
      <c r="C15" s="50"/>
      <c r="D15" s="50"/>
      <c r="E15" s="50" t="s">
        <v>49</v>
      </c>
      <c r="F15" s="80">
        <v>3.51</v>
      </c>
      <c r="G15" s="50"/>
      <c r="H15" s="69"/>
    </row>
    <row r="16" spans="1:8" x14ac:dyDescent="0.15">
      <c r="A16" s="68" t="s">
        <v>10</v>
      </c>
      <c r="B16" s="80">
        <v>16.37</v>
      </c>
      <c r="C16" s="50"/>
      <c r="D16" s="50"/>
      <c r="E16" s="50" t="s">
        <v>50</v>
      </c>
      <c r="F16" s="80">
        <v>3.51</v>
      </c>
      <c r="G16" s="50"/>
      <c r="H16" s="69"/>
    </row>
    <row r="17" spans="1:8" x14ac:dyDescent="0.15">
      <c r="A17" s="81" t="s">
        <v>103</v>
      </c>
      <c r="B17" s="80">
        <v>2.4300000000000002</v>
      </c>
      <c r="C17" s="50"/>
      <c r="D17" s="50"/>
      <c r="E17" s="50" t="s">
        <v>51</v>
      </c>
      <c r="F17" s="80">
        <v>3.51</v>
      </c>
      <c r="G17" s="50"/>
      <c r="H17" s="69"/>
    </row>
    <row r="18" spans="1:8" x14ac:dyDescent="0.15">
      <c r="A18" s="68" t="s">
        <v>11</v>
      </c>
      <c r="B18" s="80">
        <v>5.6</v>
      </c>
      <c r="C18" s="50"/>
      <c r="D18" s="50"/>
      <c r="E18" s="50" t="s">
        <v>52</v>
      </c>
      <c r="F18" s="80">
        <v>3.51</v>
      </c>
      <c r="G18" s="50"/>
      <c r="H18" s="69"/>
    </row>
    <row r="19" spans="1:8" x14ac:dyDescent="0.15">
      <c r="A19" s="68" t="s">
        <v>12</v>
      </c>
      <c r="B19" s="80">
        <v>5.6</v>
      </c>
      <c r="C19" s="50"/>
      <c r="D19" s="50"/>
      <c r="E19" s="50" t="s">
        <v>53</v>
      </c>
      <c r="F19" s="80">
        <v>3.51</v>
      </c>
      <c r="G19" s="50"/>
      <c r="H19" s="69"/>
    </row>
    <row r="20" spans="1:8" x14ac:dyDescent="0.15">
      <c r="A20" s="68" t="s">
        <v>13</v>
      </c>
      <c r="B20" s="80">
        <v>5.6</v>
      </c>
      <c r="C20" s="50"/>
      <c r="D20" s="50"/>
      <c r="E20" s="50" t="s">
        <v>85</v>
      </c>
      <c r="F20" s="80">
        <v>4.8499999999999996</v>
      </c>
      <c r="G20" s="50"/>
      <c r="H20" s="69"/>
    </row>
    <row r="21" spans="1:8" x14ac:dyDescent="0.15">
      <c r="A21" s="68" t="s">
        <v>14</v>
      </c>
      <c r="B21" s="80">
        <v>5.6</v>
      </c>
      <c r="C21" s="50"/>
      <c r="D21" s="50"/>
      <c r="E21" s="50" t="s">
        <v>86</v>
      </c>
      <c r="F21" s="80">
        <v>9.6999999999999993</v>
      </c>
      <c r="G21" s="50"/>
      <c r="H21" s="69"/>
    </row>
    <row r="22" spans="1:8" x14ac:dyDescent="0.15">
      <c r="A22" s="68" t="s">
        <v>15</v>
      </c>
      <c r="B22" s="80">
        <v>5.6</v>
      </c>
      <c r="C22" s="50"/>
      <c r="D22" s="50"/>
      <c r="E22" s="50" t="s">
        <v>89</v>
      </c>
      <c r="F22" s="80">
        <v>14.43</v>
      </c>
      <c r="G22" s="50"/>
      <c r="H22" s="69"/>
    </row>
    <row r="23" spans="1:8" x14ac:dyDescent="0.15">
      <c r="A23" s="68" t="s">
        <v>16</v>
      </c>
      <c r="B23" s="80">
        <v>5.6</v>
      </c>
      <c r="C23" s="50"/>
      <c r="D23" s="50"/>
      <c r="E23" s="50" t="s">
        <v>87</v>
      </c>
      <c r="F23" s="80">
        <v>19.399999999999999</v>
      </c>
      <c r="G23" s="50"/>
      <c r="H23" s="69"/>
    </row>
    <row r="24" spans="1:8" x14ac:dyDescent="0.15">
      <c r="A24" s="68" t="s">
        <v>17</v>
      </c>
      <c r="B24" s="80">
        <v>4.21</v>
      </c>
      <c r="C24" s="50"/>
      <c r="D24" s="50"/>
      <c r="E24" s="50" t="s">
        <v>90</v>
      </c>
      <c r="F24" s="80">
        <v>24.25</v>
      </c>
      <c r="G24" s="50"/>
      <c r="H24" s="69"/>
    </row>
    <row r="25" spans="1:8" x14ac:dyDescent="0.15">
      <c r="A25" s="68" t="s">
        <v>18</v>
      </c>
      <c r="B25" s="80">
        <v>4.21</v>
      </c>
      <c r="C25" s="50"/>
      <c r="D25" s="50"/>
      <c r="E25" s="50" t="s">
        <v>88</v>
      </c>
      <c r="F25" s="80">
        <v>28.98</v>
      </c>
      <c r="G25" s="50"/>
      <c r="H25" s="69"/>
    </row>
    <row r="26" spans="1:8" x14ac:dyDescent="0.15">
      <c r="A26" s="68" t="s">
        <v>19</v>
      </c>
      <c r="B26" s="80">
        <v>4.21</v>
      </c>
      <c r="C26" s="50"/>
      <c r="D26" s="50"/>
      <c r="E26" s="82" t="s">
        <v>97</v>
      </c>
      <c r="F26" s="80">
        <v>7.22</v>
      </c>
      <c r="G26" s="50"/>
      <c r="H26" s="69"/>
    </row>
    <row r="27" spans="1:8" x14ac:dyDescent="0.15">
      <c r="A27" s="68" t="s">
        <v>112</v>
      </c>
      <c r="B27" s="80">
        <v>4.21</v>
      </c>
      <c r="C27" s="50"/>
      <c r="D27" s="50"/>
      <c r="E27" s="82" t="s">
        <v>81</v>
      </c>
      <c r="F27" s="80">
        <v>9.0399999999999991</v>
      </c>
      <c r="G27" s="50"/>
      <c r="H27" s="69"/>
    </row>
    <row r="28" spans="1:8" x14ac:dyDescent="0.15">
      <c r="A28" s="68" t="s">
        <v>20</v>
      </c>
      <c r="B28" s="80">
        <v>4.21</v>
      </c>
      <c r="C28" s="50"/>
      <c r="D28" s="50"/>
      <c r="E28" s="50" t="s">
        <v>106</v>
      </c>
      <c r="F28" s="80">
        <f>('2019'!F27*Faktor!$B$8)+'2019'!F27</f>
        <v>8.7411689799999994</v>
      </c>
      <c r="G28" s="50"/>
      <c r="H28" s="69"/>
    </row>
    <row r="29" spans="1:8" x14ac:dyDescent="0.15">
      <c r="A29" s="68" t="s">
        <v>21</v>
      </c>
      <c r="B29" s="80">
        <v>8.8699999999999992</v>
      </c>
      <c r="C29" s="50"/>
      <c r="D29" s="50"/>
      <c r="E29" s="50" t="s">
        <v>44</v>
      </c>
      <c r="F29" s="80">
        <v>5</v>
      </c>
      <c r="G29" s="50"/>
      <c r="H29" s="69"/>
    </row>
    <row r="30" spans="1:8" x14ac:dyDescent="0.15">
      <c r="A30" s="68" t="s">
        <v>22</v>
      </c>
      <c r="B30" s="80">
        <v>8.8699999999999992</v>
      </c>
      <c r="C30" s="50"/>
      <c r="D30" s="50"/>
      <c r="E30" s="50" t="s">
        <v>110</v>
      </c>
      <c r="F30" s="80">
        <v>3.63</v>
      </c>
      <c r="G30" s="50"/>
      <c r="H30" s="69"/>
    </row>
    <row r="31" spans="1:8" x14ac:dyDescent="0.15">
      <c r="A31" s="81" t="s">
        <v>119</v>
      </c>
      <c r="B31" s="80">
        <v>8.8699999999999992</v>
      </c>
      <c r="C31" s="50"/>
      <c r="D31" s="50"/>
      <c r="E31" s="50" t="s">
        <v>82</v>
      </c>
      <c r="F31" s="80">
        <v>45.17</v>
      </c>
      <c r="G31" s="50"/>
      <c r="H31" s="69"/>
    </row>
    <row r="32" spans="1:8" x14ac:dyDescent="0.15">
      <c r="A32" s="68" t="s">
        <v>104</v>
      </c>
      <c r="B32" s="80">
        <v>5.6</v>
      </c>
      <c r="C32" s="50"/>
      <c r="D32" s="50"/>
      <c r="E32" s="50" t="s">
        <v>83</v>
      </c>
      <c r="F32" s="80">
        <v>11.3</v>
      </c>
      <c r="G32" s="50"/>
      <c r="H32" s="69"/>
    </row>
    <row r="33" spans="1:8" x14ac:dyDescent="0.15">
      <c r="A33" s="68" t="s">
        <v>105</v>
      </c>
      <c r="B33" s="80">
        <v>4.21</v>
      </c>
      <c r="C33" s="50"/>
      <c r="D33" s="50"/>
      <c r="E33" s="50" t="s">
        <v>59</v>
      </c>
      <c r="F33" s="80">
        <v>39.479999999999997</v>
      </c>
      <c r="G33" s="50"/>
      <c r="H33" s="69"/>
    </row>
    <row r="34" spans="1:8" x14ac:dyDescent="0.15">
      <c r="A34" s="68" t="s">
        <v>23</v>
      </c>
      <c r="B34" s="80">
        <v>3.98</v>
      </c>
      <c r="C34" s="50"/>
      <c r="D34" s="50"/>
      <c r="E34" s="50" t="s">
        <v>60</v>
      </c>
      <c r="F34" s="80">
        <v>34.32</v>
      </c>
      <c r="G34" s="50"/>
      <c r="H34" s="69"/>
    </row>
    <row r="35" spans="1:8" x14ac:dyDescent="0.15">
      <c r="A35" s="68" t="s">
        <v>24</v>
      </c>
      <c r="B35" s="80">
        <v>3.98</v>
      </c>
      <c r="C35" s="50"/>
      <c r="D35" s="50"/>
      <c r="E35" s="50" t="s">
        <v>61</v>
      </c>
      <c r="F35" s="80">
        <v>34.32</v>
      </c>
      <c r="G35" s="50"/>
      <c r="H35" s="69"/>
    </row>
    <row r="36" spans="1:8" x14ac:dyDescent="0.15">
      <c r="A36" s="68" t="s">
        <v>64</v>
      </c>
      <c r="B36" s="80">
        <f>('2019'!B35*Faktor!$B$8)+'2019'!B35</f>
        <v>2.5138254864452749</v>
      </c>
      <c r="C36" s="50"/>
      <c r="D36" s="50"/>
      <c r="E36" s="50" t="s">
        <v>102</v>
      </c>
      <c r="F36" s="80">
        <v>13.29</v>
      </c>
      <c r="G36" s="50"/>
      <c r="H36" s="69"/>
    </row>
    <row r="37" spans="1:8" x14ac:dyDescent="0.15">
      <c r="A37" s="68" t="s">
        <v>25</v>
      </c>
      <c r="B37" s="80">
        <v>6.4</v>
      </c>
      <c r="C37" s="50"/>
      <c r="D37" s="50"/>
      <c r="E37" s="50" t="s">
        <v>63</v>
      </c>
      <c r="F37" s="80">
        <v>2.5</v>
      </c>
      <c r="G37" s="50"/>
      <c r="H37" s="69"/>
    </row>
    <row r="38" spans="1:8" x14ac:dyDescent="0.15">
      <c r="A38" s="68" t="s">
        <v>26</v>
      </c>
      <c r="B38" s="80">
        <v>6.4</v>
      </c>
      <c r="C38" s="50"/>
      <c r="D38" s="50"/>
      <c r="E38" s="50" t="s">
        <v>62</v>
      </c>
      <c r="F38" s="80">
        <v>6.03</v>
      </c>
      <c r="G38" s="50"/>
      <c r="H38" s="69"/>
    </row>
    <row r="39" spans="1:8" x14ac:dyDescent="0.15">
      <c r="A39" s="68" t="s">
        <v>27</v>
      </c>
      <c r="B39" s="80">
        <v>2.75</v>
      </c>
      <c r="C39" s="50"/>
      <c r="D39" s="50"/>
      <c r="E39" s="50" t="s">
        <v>120</v>
      </c>
      <c r="F39" s="80">
        <v>5.6</v>
      </c>
      <c r="G39" s="50"/>
      <c r="H39" s="69"/>
    </row>
    <row r="40" spans="1:8" x14ac:dyDescent="0.15">
      <c r="A40" s="68" t="s">
        <v>28</v>
      </c>
      <c r="B40" s="80">
        <v>2.75</v>
      </c>
      <c r="C40" s="50"/>
      <c r="D40" s="50"/>
      <c r="E40" s="50" t="s">
        <v>114</v>
      </c>
      <c r="F40" s="80">
        <v>266.73</v>
      </c>
      <c r="G40" s="50"/>
      <c r="H40" s="69"/>
    </row>
    <row r="41" spans="1:8" x14ac:dyDescent="0.15">
      <c r="A41" s="68" t="s">
        <v>29</v>
      </c>
      <c r="B41" s="80">
        <v>2.75</v>
      </c>
      <c r="C41" s="50"/>
      <c r="D41" s="50"/>
      <c r="E41" s="50" t="s">
        <v>115</v>
      </c>
      <c r="F41" s="80">
        <v>134.71</v>
      </c>
      <c r="G41" s="50"/>
      <c r="H41" s="69"/>
    </row>
    <row r="42" spans="1:8" x14ac:dyDescent="0.15">
      <c r="A42" s="68" t="s">
        <v>30</v>
      </c>
      <c r="B42" s="80">
        <v>2.75</v>
      </c>
      <c r="C42" s="50"/>
      <c r="D42" s="50"/>
      <c r="E42" s="50" t="s">
        <v>122</v>
      </c>
      <c r="F42" s="80">
        <f>('2019'!F45*Faktor!$B$8)+'2019'!F45</f>
        <v>5.4047656000000002</v>
      </c>
      <c r="G42" s="50"/>
      <c r="H42" s="69"/>
    </row>
    <row r="43" spans="1:8" x14ac:dyDescent="0.15">
      <c r="A43" s="68" t="s">
        <v>31</v>
      </c>
      <c r="B43" s="80">
        <v>2.75</v>
      </c>
      <c r="C43" s="50"/>
      <c r="D43" s="50"/>
      <c r="E43" s="50" t="s">
        <v>108</v>
      </c>
      <c r="F43" s="80">
        <v>6</v>
      </c>
      <c r="G43" s="50"/>
      <c r="H43" s="69"/>
    </row>
    <row r="44" spans="1:8" x14ac:dyDescent="0.15">
      <c r="A44" s="68" t="s">
        <v>32</v>
      </c>
      <c r="B44" s="80">
        <v>2.75</v>
      </c>
      <c r="C44" s="50"/>
      <c r="D44" s="50"/>
      <c r="E44" s="50" t="s">
        <v>65</v>
      </c>
      <c r="F44" s="80">
        <v>7.22</v>
      </c>
      <c r="G44" s="50"/>
      <c r="H44" s="69"/>
    </row>
    <row r="45" spans="1:8" x14ac:dyDescent="0.15">
      <c r="A45" s="68" t="s">
        <v>98</v>
      </c>
      <c r="B45" s="80">
        <v>5.46</v>
      </c>
      <c r="C45" s="50"/>
      <c r="D45" s="50"/>
      <c r="E45" s="50" t="s">
        <v>66</v>
      </c>
      <c r="F45" s="80">
        <v>10.79</v>
      </c>
      <c r="G45" s="50"/>
      <c r="H45" s="69"/>
    </row>
    <row r="46" spans="1:8" x14ac:dyDescent="0.15">
      <c r="A46" s="68" t="s">
        <v>91</v>
      </c>
      <c r="B46" s="80">
        <v>16.37</v>
      </c>
      <c r="C46" s="50"/>
      <c r="D46" s="50"/>
      <c r="E46" s="83" t="s">
        <v>84</v>
      </c>
      <c r="F46" s="80">
        <v>10.61</v>
      </c>
      <c r="G46" s="50"/>
      <c r="H46" s="69"/>
    </row>
    <row r="47" spans="1:8" x14ac:dyDescent="0.15">
      <c r="A47" s="68" t="s">
        <v>92</v>
      </c>
      <c r="B47" s="80">
        <v>16.37</v>
      </c>
      <c r="C47" s="50"/>
      <c r="D47" s="50"/>
      <c r="E47" s="50" t="s">
        <v>123</v>
      </c>
      <c r="F47" s="80">
        <v>9.0399999999999991</v>
      </c>
      <c r="G47" s="50"/>
      <c r="H47" s="69"/>
    </row>
    <row r="48" spans="1:8" ht="13.5" thickBot="1" x14ac:dyDescent="0.2">
      <c r="A48" s="68" t="s">
        <v>93</v>
      </c>
      <c r="B48" s="80">
        <v>7.09</v>
      </c>
      <c r="C48" s="50"/>
      <c r="D48" s="50"/>
      <c r="E48" s="37"/>
      <c r="F48" s="37"/>
      <c r="G48" s="83"/>
      <c r="H48" s="84"/>
    </row>
    <row r="49" spans="1:8" x14ac:dyDescent="0.15">
      <c r="A49" s="68" t="s">
        <v>113</v>
      </c>
      <c r="B49" s="80">
        <v>24.25</v>
      </c>
      <c r="C49" s="50"/>
      <c r="D49" s="85"/>
      <c r="E49" s="60" t="s">
        <v>101</v>
      </c>
      <c r="F49" s="86"/>
      <c r="G49" s="61"/>
      <c r="H49" s="62"/>
    </row>
    <row r="50" spans="1:8" x14ac:dyDescent="0.15">
      <c r="A50" s="68" t="s">
        <v>33</v>
      </c>
      <c r="B50" s="80">
        <v>16.97</v>
      </c>
      <c r="C50" s="50"/>
      <c r="D50" s="85"/>
      <c r="E50" s="68" t="s">
        <v>67</v>
      </c>
      <c r="F50" s="80"/>
      <c r="G50" s="50"/>
      <c r="H50" s="69"/>
    </row>
    <row r="51" spans="1:8" x14ac:dyDescent="0.15">
      <c r="A51" s="68" t="s">
        <v>34</v>
      </c>
      <c r="B51" s="80">
        <v>13.34</v>
      </c>
      <c r="C51" s="50"/>
      <c r="D51" s="85"/>
      <c r="E51" s="68" t="s">
        <v>68</v>
      </c>
      <c r="F51" s="80">
        <v>3.02</v>
      </c>
      <c r="G51" s="50"/>
      <c r="H51" s="69"/>
    </row>
    <row r="52" spans="1:8" x14ac:dyDescent="0.15">
      <c r="A52" s="68" t="s">
        <v>35</v>
      </c>
      <c r="B52" s="80">
        <v>9.6999999999999993</v>
      </c>
      <c r="C52" s="50"/>
      <c r="D52" s="85"/>
      <c r="E52" s="68" t="s">
        <v>80</v>
      </c>
      <c r="F52" s="80"/>
      <c r="G52" s="50"/>
      <c r="H52" s="69"/>
    </row>
    <row r="53" spans="1:8" x14ac:dyDescent="0.15">
      <c r="A53" s="68" t="s">
        <v>36</v>
      </c>
      <c r="B53" s="80">
        <v>5.53</v>
      </c>
      <c r="C53" s="50"/>
      <c r="D53" s="85"/>
      <c r="E53" s="3" t="s">
        <v>124</v>
      </c>
      <c r="F53" s="80">
        <v>9.5399999999999991</v>
      </c>
      <c r="G53" s="50"/>
      <c r="H53" s="69"/>
    </row>
    <row r="54" spans="1:8" x14ac:dyDescent="0.15">
      <c r="A54" s="68" t="s">
        <v>37</v>
      </c>
      <c r="B54" s="80">
        <v>5.53</v>
      </c>
      <c r="C54" s="50"/>
      <c r="D54" s="85"/>
      <c r="E54" s="68" t="s">
        <v>69</v>
      </c>
      <c r="F54" s="80">
        <v>63.05</v>
      </c>
      <c r="G54" s="50"/>
      <c r="H54" s="69"/>
    </row>
    <row r="55" spans="1:8" x14ac:dyDescent="0.15">
      <c r="A55" s="68" t="s">
        <v>38</v>
      </c>
      <c r="B55" s="80">
        <v>5.53</v>
      </c>
      <c r="C55" s="50"/>
      <c r="D55" s="85"/>
      <c r="E55" s="68" t="s">
        <v>70</v>
      </c>
      <c r="F55" s="80">
        <v>1.86</v>
      </c>
      <c r="G55" s="50"/>
      <c r="H55" s="69"/>
    </row>
    <row r="56" spans="1:8" x14ac:dyDescent="0.15">
      <c r="A56" s="68" t="s">
        <v>39</v>
      </c>
      <c r="B56" s="80">
        <v>5.53</v>
      </c>
      <c r="C56" s="50"/>
      <c r="D56" s="85"/>
      <c r="E56" s="68" t="s">
        <v>129</v>
      </c>
      <c r="F56" s="80">
        <v>6.66</v>
      </c>
      <c r="G56" s="50"/>
      <c r="H56" s="69"/>
    </row>
    <row r="57" spans="1:8" x14ac:dyDescent="0.15">
      <c r="A57" s="68" t="s">
        <v>40</v>
      </c>
      <c r="B57" s="80">
        <v>5.53</v>
      </c>
      <c r="C57" s="50"/>
      <c r="D57" s="85"/>
      <c r="E57" s="68" t="s">
        <v>71</v>
      </c>
      <c r="F57" s="1"/>
      <c r="G57" s="50"/>
      <c r="H57" s="69"/>
    </row>
    <row r="58" spans="1:8" x14ac:dyDescent="0.15">
      <c r="A58" s="68" t="s">
        <v>41</v>
      </c>
      <c r="B58" s="80">
        <v>24.64</v>
      </c>
      <c r="C58" s="50"/>
      <c r="D58" s="85"/>
      <c r="E58" s="68" t="s">
        <v>72</v>
      </c>
      <c r="F58" s="1"/>
      <c r="G58" s="50"/>
      <c r="H58" s="69"/>
    </row>
    <row r="59" spans="1:8" x14ac:dyDescent="0.15">
      <c r="A59" s="68" t="s">
        <v>42</v>
      </c>
      <c r="B59" s="80">
        <v>24.64</v>
      </c>
      <c r="C59" s="50"/>
      <c r="D59" s="85"/>
      <c r="E59" s="3"/>
      <c r="F59" s="80"/>
      <c r="G59" s="50"/>
      <c r="H59" s="69"/>
    </row>
    <row r="60" spans="1:8" x14ac:dyDescent="0.15">
      <c r="A60" s="68" t="s">
        <v>100</v>
      </c>
      <c r="B60" s="80">
        <v>24.64</v>
      </c>
      <c r="C60" s="50"/>
      <c r="D60" s="85"/>
      <c r="E60" s="3"/>
      <c r="F60" s="80"/>
      <c r="G60" s="50"/>
      <c r="H60" s="69"/>
    </row>
    <row r="61" spans="1:8" ht="13.5" thickBot="1" x14ac:dyDescent="0.2">
      <c r="A61" s="5" t="s">
        <v>43</v>
      </c>
      <c r="B61" s="80">
        <v>24.64</v>
      </c>
      <c r="C61" s="76"/>
      <c r="D61" s="87"/>
      <c r="E61" s="5"/>
      <c r="F61" s="6"/>
      <c r="G61" s="76"/>
      <c r="H61" s="77"/>
    </row>
    <row r="62" spans="1:8" x14ac:dyDescent="0.15">
      <c r="A62" s="99" t="s">
        <v>127</v>
      </c>
      <c r="B62" s="100"/>
      <c r="C62" s="100"/>
      <c r="D62" s="100"/>
      <c r="E62" s="100"/>
      <c r="F62" s="100"/>
      <c r="G62" s="100"/>
      <c r="H62" s="101"/>
    </row>
    <row r="63" spans="1:8" x14ac:dyDescent="0.15">
      <c r="A63" s="102"/>
      <c r="B63" s="103"/>
      <c r="C63" s="103"/>
      <c r="D63" s="103"/>
      <c r="E63" s="103"/>
      <c r="F63" s="103"/>
      <c r="G63" s="103"/>
      <c r="H63" s="104"/>
    </row>
    <row r="64" spans="1:8" ht="13.5" thickBot="1" x14ac:dyDescent="0.2">
      <c r="A64" s="105"/>
      <c r="B64" s="106"/>
      <c r="C64" s="106"/>
      <c r="D64" s="106"/>
      <c r="E64" s="106"/>
      <c r="F64" s="106"/>
      <c r="G64" s="106"/>
      <c r="H64" s="107"/>
    </row>
  </sheetData>
  <mergeCells count="5">
    <mergeCell ref="F2:H2"/>
    <mergeCell ref="F3:H3"/>
    <mergeCell ref="F4:H4"/>
    <mergeCell ref="F5:H5"/>
    <mergeCell ref="F6:H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FE15-9887-4EA5-A420-5B1B712EE0BA}">
  <dimension ref="A1:H63"/>
  <sheetViews>
    <sheetView zoomScale="140" zoomScaleNormal="140" workbookViewId="0">
      <selection sqref="A1:H63"/>
    </sheetView>
  </sheetViews>
  <sheetFormatPr defaultColWidth="8.8984375" defaultRowHeight="12.75" x14ac:dyDescent="0.15"/>
  <cols>
    <col min="1" max="1" width="16.71875" customWidth="1"/>
    <col min="2" max="2" width="6.3359375" customWidth="1"/>
    <col min="3" max="4" width="11.32421875" customWidth="1"/>
    <col min="5" max="5" width="15.23828125" customWidth="1"/>
    <col min="7" max="8" width="11.32421875" customWidth="1"/>
  </cols>
  <sheetData>
    <row r="1" spans="1:8" ht="13.5" thickBot="1" x14ac:dyDescent="0.2">
      <c r="A1" s="108"/>
      <c r="B1" s="109"/>
      <c r="C1" s="109"/>
      <c r="D1" s="109"/>
      <c r="E1" s="110" t="s">
        <v>130</v>
      </c>
      <c r="F1" s="109"/>
      <c r="G1" s="109"/>
      <c r="H1" s="111"/>
    </row>
    <row r="2" spans="1:8" x14ac:dyDescent="0.15">
      <c r="A2" s="95" t="s">
        <v>0</v>
      </c>
      <c r="B2" s="56"/>
      <c r="C2" s="57"/>
      <c r="D2" s="58"/>
      <c r="E2" s="93" t="s">
        <v>77</v>
      </c>
      <c r="F2" s="165"/>
      <c r="G2" s="166"/>
      <c r="H2" s="167"/>
    </row>
    <row r="3" spans="1:8" x14ac:dyDescent="0.15">
      <c r="A3" s="96" t="s">
        <v>1</v>
      </c>
      <c r="B3" s="64"/>
      <c r="C3" s="65"/>
      <c r="D3" s="66"/>
      <c r="E3" s="94" t="s">
        <v>126</v>
      </c>
      <c r="F3" s="168"/>
      <c r="G3" s="169"/>
      <c r="H3" s="170"/>
    </row>
    <row r="4" spans="1:8" x14ac:dyDescent="0.15">
      <c r="A4" s="96" t="s">
        <v>2</v>
      </c>
      <c r="B4" s="64"/>
      <c r="C4" s="65"/>
      <c r="D4" s="66"/>
      <c r="E4" s="94" t="s">
        <v>76</v>
      </c>
      <c r="F4" s="168"/>
      <c r="G4" s="169"/>
      <c r="H4" s="170"/>
    </row>
    <row r="5" spans="1:8" ht="13.5" thickBot="1" x14ac:dyDescent="0.2">
      <c r="A5" s="97" t="s">
        <v>3</v>
      </c>
      <c r="B5" s="64"/>
      <c r="C5" s="65"/>
      <c r="D5" s="66"/>
      <c r="E5" s="67"/>
      <c r="F5" s="168"/>
      <c r="G5" s="169"/>
      <c r="H5" s="170"/>
    </row>
    <row r="6" spans="1:8" x14ac:dyDescent="0.15">
      <c r="A6" s="60"/>
      <c r="B6" s="91" t="s">
        <v>73</v>
      </c>
      <c r="C6" s="91" t="s">
        <v>74</v>
      </c>
      <c r="D6" s="91" t="s">
        <v>75</v>
      </c>
      <c r="E6" s="61"/>
      <c r="F6" s="91" t="s">
        <v>73</v>
      </c>
      <c r="G6" s="91" t="s">
        <v>74</v>
      </c>
      <c r="H6" s="92" t="s">
        <v>75</v>
      </c>
    </row>
    <row r="7" spans="1:8" x14ac:dyDescent="0.15">
      <c r="A7" s="68" t="s">
        <v>4</v>
      </c>
      <c r="B7" s="80">
        <v>2.5</v>
      </c>
      <c r="C7" s="50"/>
      <c r="D7" s="50"/>
      <c r="E7" s="50" t="s">
        <v>99</v>
      </c>
      <c r="F7" s="80">
        <v>15.99</v>
      </c>
      <c r="G7" s="50"/>
      <c r="H7" s="69"/>
    </row>
    <row r="8" spans="1:8" x14ac:dyDescent="0.15">
      <c r="A8" s="68" t="s">
        <v>5</v>
      </c>
      <c r="B8" s="80">
        <v>2.5</v>
      </c>
      <c r="C8" s="50"/>
      <c r="D8" s="50"/>
      <c r="E8" s="50" t="s">
        <v>45</v>
      </c>
      <c r="F8" s="80">
        <v>3.73</v>
      </c>
      <c r="G8" s="50"/>
      <c r="H8" s="69"/>
    </row>
    <row r="9" spans="1:8" x14ac:dyDescent="0.15">
      <c r="A9" s="68" t="s">
        <v>54</v>
      </c>
      <c r="B9" s="80">
        <v>4.1399999999999997</v>
      </c>
      <c r="C9" s="50"/>
      <c r="D9" s="50"/>
      <c r="E9" s="50" t="s">
        <v>46</v>
      </c>
      <c r="F9" s="80">
        <v>14.16</v>
      </c>
      <c r="G9" s="50"/>
      <c r="H9" s="69"/>
    </row>
    <row r="10" spans="1:8" x14ac:dyDescent="0.15">
      <c r="A10" s="68" t="s">
        <v>107</v>
      </c>
      <c r="B10" s="80">
        <v>1.66</v>
      </c>
      <c r="C10" s="50"/>
      <c r="D10" s="50"/>
      <c r="E10" s="50" t="s">
        <v>96</v>
      </c>
      <c r="F10" s="80">
        <v>3.73</v>
      </c>
      <c r="G10" s="50"/>
      <c r="H10" s="69"/>
    </row>
    <row r="11" spans="1:8" x14ac:dyDescent="0.15">
      <c r="A11" s="68" t="s">
        <v>6</v>
      </c>
      <c r="B11" s="80">
        <v>15.61</v>
      </c>
      <c r="C11" s="50"/>
      <c r="D11" s="50"/>
      <c r="E11" s="50" t="s">
        <v>48</v>
      </c>
      <c r="F11" s="80">
        <v>13.33</v>
      </c>
      <c r="G11" s="50"/>
      <c r="H11" s="69"/>
    </row>
    <row r="12" spans="1:8" x14ac:dyDescent="0.15">
      <c r="A12" s="68" t="s">
        <v>7</v>
      </c>
      <c r="B12" s="80">
        <v>15.61</v>
      </c>
      <c r="C12" s="50"/>
      <c r="D12" s="50"/>
      <c r="E12" s="50" t="s">
        <v>94</v>
      </c>
      <c r="F12" s="80">
        <v>3.73</v>
      </c>
      <c r="G12" s="50"/>
      <c r="H12" s="69"/>
    </row>
    <row r="13" spans="1:8" x14ac:dyDescent="0.15">
      <c r="A13" s="68" t="s">
        <v>8</v>
      </c>
      <c r="B13" s="80">
        <v>15.61</v>
      </c>
      <c r="C13" s="50"/>
      <c r="D13" s="50"/>
      <c r="E13" s="50" t="s">
        <v>49</v>
      </c>
      <c r="F13" s="80">
        <v>3.73</v>
      </c>
      <c r="G13" s="50"/>
      <c r="H13" s="69"/>
    </row>
    <row r="14" spans="1:8" x14ac:dyDescent="0.15">
      <c r="A14" s="68" t="s">
        <v>9</v>
      </c>
      <c r="B14" s="80">
        <v>15.61</v>
      </c>
      <c r="C14" s="50"/>
      <c r="D14" s="50"/>
      <c r="E14" s="50" t="s">
        <v>50</v>
      </c>
      <c r="F14" s="80">
        <v>3.73</v>
      </c>
      <c r="G14" s="50"/>
      <c r="H14" s="69"/>
    </row>
    <row r="15" spans="1:8" x14ac:dyDescent="0.15">
      <c r="A15" s="68" t="s">
        <v>10</v>
      </c>
      <c r="B15" s="80">
        <v>15.61</v>
      </c>
      <c r="C15" s="50"/>
      <c r="D15" s="50"/>
      <c r="E15" s="50" t="s">
        <v>51</v>
      </c>
      <c r="F15" s="80">
        <v>3.73</v>
      </c>
      <c r="G15" s="50"/>
      <c r="H15" s="69"/>
    </row>
    <row r="16" spans="1:8" x14ac:dyDescent="0.15">
      <c r="A16" s="68" t="s">
        <v>11</v>
      </c>
      <c r="B16" s="80">
        <v>15.61</v>
      </c>
      <c r="C16" s="50"/>
      <c r="D16" s="50"/>
      <c r="E16" s="50" t="s">
        <v>52</v>
      </c>
      <c r="F16" s="80">
        <v>3.73</v>
      </c>
      <c r="G16" s="50"/>
      <c r="H16" s="69"/>
    </row>
    <row r="17" spans="1:8" x14ac:dyDescent="0.15">
      <c r="A17" s="68" t="s">
        <v>12</v>
      </c>
      <c r="B17" s="80">
        <v>11.71</v>
      </c>
      <c r="C17" s="50"/>
      <c r="D17" s="50"/>
      <c r="E17" s="50" t="s">
        <v>53</v>
      </c>
      <c r="F17" s="80">
        <v>3.73</v>
      </c>
      <c r="G17" s="50"/>
      <c r="H17" s="69"/>
    </row>
    <row r="18" spans="1:8" x14ac:dyDescent="0.15">
      <c r="A18" s="68" t="s">
        <v>13</v>
      </c>
      <c r="B18" s="80">
        <v>11.71</v>
      </c>
      <c r="C18" s="50"/>
      <c r="D18" s="1"/>
      <c r="E18" s="1" t="s">
        <v>134</v>
      </c>
      <c r="F18" s="113">
        <v>5.15</v>
      </c>
      <c r="G18" s="50"/>
      <c r="H18" s="69"/>
    </row>
    <row r="19" spans="1:8" x14ac:dyDescent="0.15">
      <c r="A19" s="68" t="s">
        <v>14</v>
      </c>
      <c r="B19" s="80">
        <v>7.81</v>
      </c>
      <c r="C19" s="50"/>
      <c r="D19" s="50"/>
      <c r="E19" s="1" t="s">
        <v>135</v>
      </c>
      <c r="F19" s="113">
        <f>F18*2</f>
        <v>10.3</v>
      </c>
      <c r="G19" s="50"/>
      <c r="H19" s="69"/>
    </row>
    <row r="20" spans="1:8" x14ac:dyDescent="0.15">
      <c r="A20" s="68" t="s">
        <v>15</v>
      </c>
      <c r="B20" s="80">
        <v>7.81</v>
      </c>
      <c r="C20" s="50"/>
      <c r="D20" s="50"/>
      <c r="E20" s="1" t="s">
        <v>136</v>
      </c>
      <c r="F20" s="113">
        <f>F18*3</f>
        <v>15.450000000000001</v>
      </c>
      <c r="G20" s="50"/>
      <c r="H20" s="69"/>
    </row>
    <row r="21" spans="1:8" x14ac:dyDescent="0.15">
      <c r="A21" s="68" t="s">
        <v>16</v>
      </c>
      <c r="B21" s="80">
        <v>7.81</v>
      </c>
      <c r="C21" s="50"/>
      <c r="D21" s="50"/>
      <c r="E21" s="1" t="s">
        <v>137</v>
      </c>
      <c r="F21" s="113">
        <f>F18*4</f>
        <v>20.6</v>
      </c>
      <c r="G21" s="50"/>
      <c r="H21" s="69"/>
    </row>
    <row r="22" spans="1:8" x14ac:dyDescent="0.15">
      <c r="A22" s="68" t="s">
        <v>17</v>
      </c>
      <c r="B22" s="80">
        <v>7.81</v>
      </c>
      <c r="C22" s="50"/>
      <c r="D22" s="50"/>
      <c r="E22" s="1" t="s">
        <v>138</v>
      </c>
      <c r="F22" s="113">
        <f>F18*5</f>
        <v>25.75</v>
      </c>
      <c r="G22" s="50"/>
      <c r="H22" s="69"/>
    </row>
    <row r="23" spans="1:8" x14ac:dyDescent="0.15">
      <c r="A23" s="68" t="s">
        <v>18</v>
      </c>
      <c r="B23" s="80">
        <v>5.85</v>
      </c>
      <c r="C23" s="50"/>
      <c r="D23" s="50"/>
      <c r="E23" s="1" t="s">
        <v>139</v>
      </c>
      <c r="F23" s="113">
        <f>F18*6</f>
        <v>30.900000000000002</v>
      </c>
      <c r="G23" s="50"/>
      <c r="H23" s="69"/>
    </row>
    <row r="24" spans="1:8" x14ac:dyDescent="0.15">
      <c r="A24" s="68" t="s">
        <v>19</v>
      </c>
      <c r="B24" s="80">
        <v>5.85</v>
      </c>
      <c r="C24" s="50"/>
      <c r="D24" s="50"/>
      <c r="E24" s="1" t="s">
        <v>140</v>
      </c>
      <c r="F24" s="113">
        <f>3.73*6</f>
        <v>22.38</v>
      </c>
      <c r="G24" s="50"/>
      <c r="H24" s="69"/>
    </row>
    <row r="25" spans="1:8" x14ac:dyDescent="0.15">
      <c r="A25" s="68" t="s">
        <v>112</v>
      </c>
      <c r="B25" s="80">
        <v>3.9</v>
      </c>
      <c r="C25" s="50"/>
      <c r="D25" s="50"/>
      <c r="E25" s="82" t="s">
        <v>97</v>
      </c>
      <c r="F25" s="80">
        <v>13.66</v>
      </c>
      <c r="G25" s="50"/>
      <c r="H25" s="69"/>
    </row>
    <row r="26" spans="1:8" x14ac:dyDescent="0.15">
      <c r="A26" s="68" t="s">
        <v>20</v>
      </c>
      <c r="B26" s="80">
        <v>3.9</v>
      </c>
      <c r="C26" s="50"/>
      <c r="D26" s="50"/>
      <c r="E26" s="114" t="s">
        <v>141</v>
      </c>
      <c r="F26" s="80">
        <v>13.66</v>
      </c>
      <c r="G26" s="50"/>
      <c r="H26" s="69"/>
    </row>
    <row r="27" spans="1:8" x14ac:dyDescent="0.15">
      <c r="A27" s="68" t="s">
        <v>21</v>
      </c>
      <c r="B27" s="80">
        <v>19.510000000000002</v>
      </c>
      <c r="C27" s="50"/>
      <c r="D27" s="50"/>
      <c r="E27" s="115" t="s">
        <v>142</v>
      </c>
      <c r="F27" s="89">
        <v>17.559999999999999</v>
      </c>
      <c r="G27" s="50"/>
      <c r="H27" s="69"/>
    </row>
    <row r="28" spans="1:8" x14ac:dyDescent="0.15">
      <c r="A28" s="68" t="s">
        <v>22</v>
      </c>
      <c r="B28" s="80">
        <v>15.61</v>
      </c>
      <c r="C28" s="50"/>
      <c r="D28" s="50"/>
      <c r="E28" s="50" t="s">
        <v>106</v>
      </c>
      <c r="F28" s="80">
        <v>9.09</v>
      </c>
      <c r="G28" s="50"/>
      <c r="H28" s="69"/>
    </row>
    <row r="29" spans="1:8" x14ac:dyDescent="0.15">
      <c r="A29" s="81" t="s">
        <v>119</v>
      </c>
      <c r="B29" s="90">
        <v>11.71</v>
      </c>
      <c r="C29" s="50"/>
      <c r="D29" s="50"/>
      <c r="E29" s="50" t="s">
        <v>44</v>
      </c>
      <c r="F29" s="80">
        <v>5</v>
      </c>
      <c r="G29" s="50"/>
      <c r="H29" s="69"/>
    </row>
    <row r="30" spans="1:8" x14ac:dyDescent="0.15">
      <c r="A30" s="3" t="s">
        <v>131</v>
      </c>
      <c r="B30" s="1">
        <v>14.64</v>
      </c>
      <c r="C30" s="50"/>
      <c r="D30" s="50"/>
      <c r="E30" s="50" t="s">
        <v>110</v>
      </c>
      <c r="F30" s="80">
        <v>3.86</v>
      </c>
      <c r="G30" s="50"/>
      <c r="H30" s="69"/>
    </row>
    <row r="31" spans="1:8" x14ac:dyDescent="0.15">
      <c r="A31" s="112" t="s">
        <v>132</v>
      </c>
      <c r="B31" s="80">
        <v>9.76</v>
      </c>
      <c r="C31" s="50"/>
      <c r="D31" s="50"/>
      <c r="E31" s="50" t="s">
        <v>82</v>
      </c>
      <c r="F31" s="80">
        <v>47.96</v>
      </c>
      <c r="G31" s="50"/>
      <c r="H31" s="69"/>
    </row>
    <row r="32" spans="1:8" x14ac:dyDescent="0.15">
      <c r="A32" s="112" t="s">
        <v>133</v>
      </c>
      <c r="B32" s="80">
        <v>7.81</v>
      </c>
      <c r="C32" s="50"/>
      <c r="D32" s="50"/>
      <c r="E32" s="50" t="s">
        <v>83</v>
      </c>
      <c r="F32" s="80">
        <v>12.51</v>
      </c>
      <c r="G32" s="50"/>
      <c r="H32" s="69"/>
    </row>
    <row r="33" spans="1:8" x14ac:dyDescent="0.15">
      <c r="A33" s="68" t="s">
        <v>23</v>
      </c>
      <c r="B33" s="80">
        <v>4.21</v>
      </c>
      <c r="C33" s="50"/>
      <c r="D33" s="50"/>
      <c r="E33" s="50" t="s">
        <v>59</v>
      </c>
      <c r="F33" s="80">
        <v>41.92</v>
      </c>
      <c r="G33" s="50"/>
      <c r="H33" s="69"/>
    </row>
    <row r="34" spans="1:8" x14ac:dyDescent="0.15">
      <c r="A34" s="68" t="s">
        <v>24</v>
      </c>
      <c r="B34" s="80">
        <v>4.21</v>
      </c>
      <c r="C34" s="50"/>
      <c r="D34" s="50"/>
      <c r="E34" s="50" t="s">
        <v>60</v>
      </c>
      <c r="F34" s="80">
        <v>36.43</v>
      </c>
      <c r="G34" s="50"/>
      <c r="H34" s="69"/>
    </row>
    <row r="35" spans="1:8" x14ac:dyDescent="0.15">
      <c r="A35" s="68" t="s">
        <v>64</v>
      </c>
      <c r="B35" s="80">
        <v>2.67</v>
      </c>
      <c r="C35" s="50"/>
      <c r="D35" s="50"/>
      <c r="E35" s="50" t="s">
        <v>61</v>
      </c>
      <c r="F35" s="80">
        <v>35.43</v>
      </c>
      <c r="G35" s="50"/>
      <c r="H35" s="69"/>
    </row>
    <row r="36" spans="1:8" x14ac:dyDescent="0.15">
      <c r="A36" s="68" t="s">
        <v>25</v>
      </c>
      <c r="B36" s="80">
        <v>8.7799999999999994</v>
      </c>
      <c r="C36" s="50"/>
      <c r="D36" s="50"/>
      <c r="E36" s="50" t="s">
        <v>102</v>
      </c>
      <c r="F36" s="80">
        <v>14.13</v>
      </c>
      <c r="G36" s="50"/>
      <c r="H36" s="69"/>
    </row>
    <row r="37" spans="1:8" x14ac:dyDescent="0.15">
      <c r="A37" s="68" t="s">
        <v>26</v>
      </c>
      <c r="B37" s="80">
        <v>8.7799999999999994</v>
      </c>
      <c r="C37" s="50"/>
      <c r="D37" s="50"/>
      <c r="E37" s="50" t="s">
        <v>63</v>
      </c>
      <c r="F37" s="80">
        <v>2.66</v>
      </c>
      <c r="G37" s="50"/>
      <c r="H37" s="69"/>
    </row>
    <row r="38" spans="1:8" x14ac:dyDescent="0.15">
      <c r="A38" s="68" t="s">
        <v>27</v>
      </c>
      <c r="B38" s="80">
        <v>2.93</v>
      </c>
      <c r="C38" s="50"/>
      <c r="D38" s="50"/>
      <c r="E38" s="50" t="s">
        <v>62</v>
      </c>
      <c r="F38" s="80">
        <v>6.39</v>
      </c>
      <c r="G38" s="50"/>
      <c r="H38" s="69"/>
    </row>
    <row r="39" spans="1:8" x14ac:dyDescent="0.15">
      <c r="A39" s="68" t="s">
        <v>28</v>
      </c>
      <c r="B39" s="80">
        <v>2.93</v>
      </c>
      <c r="C39" s="50"/>
      <c r="D39" s="50"/>
      <c r="E39" s="50" t="s">
        <v>114</v>
      </c>
      <c r="F39" s="80">
        <v>283.20999999999998</v>
      </c>
      <c r="G39" s="50"/>
      <c r="H39" s="69"/>
    </row>
    <row r="40" spans="1:8" x14ac:dyDescent="0.15">
      <c r="A40" s="68" t="s">
        <v>29</v>
      </c>
      <c r="B40" s="80">
        <v>3.66</v>
      </c>
      <c r="C40" s="50"/>
      <c r="D40" s="50"/>
      <c r="E40" s="50" t="s">
        <v>115</v>
      </c>
      <c r="F40" s="80">
        <v>143.04</v>
      </c>
      <c r="G40" s="50"/>
      <c r="H40" s="69"/>
    </row>
    <row r="41" spans="1:8" x14ac:dyDescent="0.15">
      <c r="A41" s="68" t="s">
        <v>30</v>
      </c>
      <c r="B41" s="80">
        <v>3.66</v>
      </c>
      <c r="C41" s="50"/>
      <c r="D41" s="50"/>
      <c r="E41" s="50" t="s">
        <v>122</v>
      </c>
      <c r="F41" s="80">
        <v>5.74</v>
      </c>
      <c r="G41" s="50"/>
      <c r="H41" s="69"/>
    </row>
    <row r="42" spans="1:8" x14ac:dyDescent="0.15">
      <c r="A42" s="68" t="s">
        <v>31</v>
      </c>
      <c r="B42" s="80">
        <v>4.88</v>
      </c>
      <c r="C42" s="50"/>
      <c r="D42" s="50"/>
      <c r="E42" s="50" t="s">
        <v>108</v>
      </c>
      <c r="F42" s="80">
        <v>6.38</v>
      </c>
      <c r="G42" s="50"/>
      <c r="H42" s="69"/>
    </row>
    <row r="43" spans="1:8" x14ac:dyDescent="0.15">
      <c r="A43" s="68" t="s">
        <v>32</v>
      </c>
      <c r="B43" s="80">
        <v>2.93</v>
      </c>
      <c r="C43" s="50"/>
      <c r="D43" s="50"/>
      <c r="E43" s="50" t="s">
        <v>65</v>
      </c>
      <c r="F43" s="80">
        <v>7.67</v>
      </c>
      <c r="G43" s="50"/>
      <c r="H43" s="69"/>
    </row>
    <row r="44" spans="1:8" x14ac:dyDescent="0.15">
      <c r="A44" s="68" t="s">
        <v>98</v>
      </c>
      <c r="B44" s="80">
        <v>5.85</v>
      </c>
      <c r="C44" s="50"/>
      <c r="D44" s="50"/>
      <c r="E44" s="50" t="s">
        <v>66</v>
      </c>
      <c r="F44" s="80">
        <v>11.45</v>
      </c>
      <c r="G44" s="50"/>
      <c r="H44" s="69"/>
    </row>
    <row r="45" spans="1:8" x14ac:dyDescent="0.15">
      <c r="A45" s="68" t="s">
        <v>91</v>
      </c>
      <c r="B45" s="80">
        <v>15.61</v>
      </c>
      <c r="C45" s="50"/>
      <c r="D45" s="50"/>
      <c r="E45" s="83" t="s">
        <v>84</v>
      </c>
      <c r="F45" s="80">
        <v>20</v>
      </c>
      <c r="G45" s="50"/>
      <c r="H45" s="69"/>
    </row>
    <row r="46" spans="1:8" x14ac:dyDescent="0.15">
      <c r="A46" s="68" t="s">
        <v>92</v>
      </c>
      <c r="B46" s="80">
        <v>15.61</v>
      </c>
      <c r="C46" s="50"/>
      <c r="D46" s="50"/>
      <c r="E46" s="50" t="s">
        <v>123</v>
      </c>
      <c r="F46" s="80">
        <v>9.66</v>
      </c>
      <c r="G46" s="50"/>
      <c r="H46" s="69"/>
    </row>
    <row r="47" spans="1:8" x14ac:dyDescent="0.15">
      <c r="A47" s="68" t="s">
        <v>93</v>
      </c>
      <c r="B47" s="80">
        <v>7.81</v>
      </c>
      <c r="C47" s="50"/>
      <c r="D47" s="85"/>
      <c r="E47" s="1" t="s">
        <v>147</v>
      </c>
      <c r="F47" s="1">
        <v>5.86</v>
      </c>
      <c r="G47" s="50"/>
      <c r="H47" s="69"/>
    </row>
    <row r="48" spans="1:8" ht="13.5" thickBot="1" x14ac:dyDescent="0.2">
      <c r="A48" s="68" t="s">
        <v>113</v>
      </c>
      <c r="B48" s="80">
        <v>25.75</v>
      </c>
      <c r="C48" s="50"/>
      <c r="D48" s="85"/>
      <c r="E48" s="37"/>
      <c r="F48" s="37"/>
      <c r="G48" s="83"/>
      <c r="H48" s="84"/>
    </row>
    <row r="49" spans="1:8" x14ac:dyDescent="0.15">
      <c r="A49" s="68" t="s">
        <v>33</v>
      </c>
      <c r="B49" s="80">
        <v>18.02</v>
      </c>
      <c r="C49" s="50"/>
      <c r="D49" s="85"/>
      <c r="E49" s="60" t="s">
        <v>101</v>
      </c>
      <c r="F49" s="86"/>
      <c r="G49" s="61"/>
      <c r="H49" s="62"/>
    </row>
    <row r="50" spans="1:8" x14ac:dyDescent="0.15">
      <c r="A50" s="68" t="s">
        <v>34</v>
      </c>
      <c r="B50" s="80">
        <v>14.16</v>
      </c>
      <c r="C50" s="50"/>
      <c r="D50" s="85"/>
      <c r="E50" s="68" t="s">
        <v>67</v>
      </c>
      <c r="F50" s="80"/>
      <c r="G50" s="50"/>
      <c r="H50" s="69"/>
    </row>
    <row r="51" spans="1:8" x14ac:dyDescent="0.15">
      <c r="A51" s="68" t="s">
        <v>35</v>
      </c>
      <c r="B51" s="80">
        <v>10.3</v>
      </c>
      <c r="C51" s="50"/>
      <c r="D51" s="85"/>
      <c r="E51" s="68" t="s">
        <v>68</v>
      </c>
      <c r="F51" s="80">
        <v>3.22</v>
      </c>
      <c r="G51" s="50"/>
      <c r="H51" s="69"/>
    </row>
    <row r="52" spans="1:8" x14ac:dyDescent="0.15">
      <c r="A52" s="68" t="s">
        <v>36</v>
      </c>
      <c r="B52" s="80">
        <v>8.7799999999999994</v>
      </c>
      <c r="C52" s="50"/>
      <c r="D52" s="85"/>
      <c r="E52" s="3" t="s">
        <v>124</v>
      </c>
      <c r="F52" s="80">
        <v>9.11</v>
      </c>
      <c r="G52" s="50"/>
      <c r="H52" s="69"/>
    </row>
    <row r="53" spans="1:8" x14ac:dyDescent="0.15">
      <c r="A53" s="68" t="s">
        <v>37</v>
      </c>
      <c r="B53" s="80">
        <v>7.81</v>
      </c>
      <c r="C53" s="50"/>
      <c r="D53" s="85"/>
      <c r="E53" s="68" t="s">
        <v>129</v>
      </c>
      <c r="F53" s="80">
        <v>10.73</v>
      </c>
      <c r="G53" s="50"/>
      <c r="H53" s="69"/>
    </row>
    <row r="54" spans="1:8" x14ac:dyDescent="0.15">
      <c r="A54" s="68" t="s">
        <v>38</v>
      </c>
      <c r="B54" s="80">
        <v>7.81</v>
      </c>
      <c r="C54" s="50"/>
      <c r="D54" s="85"/>
      <c r="E54" s="3" t="s">
        <v>143</v>
      </c>
      <c r="F54" s="1">
        <v>4.3899999999999997</v>
      </c>
      <c r="G54" s="50"/>
      <c r="H54" s="69"/>
    </row>
    <row r="55" spans="1:8" x14ac:dyDescent="0.15">
      <c r="A55" s="68" t="s">
        <v>39</v>
      </c>
      <c r="B55" s="80">
        <v>5.85</v>
      </c>
      <c r="C55" s="50"/>
      <c r="D55" s="85"/>
      <c r="E55" s="68" t="s">
        <v>80</v>
      </c>
      <c r="F55" s="1"/>
      <c r="G55" s="50"/>
      <c r="H55" s="69"/>
    </row>
    <row r="56" spans="1:8" x14ac:dyDescent="0.15">
      <c r="A56" s="68" t="s">
        <v>40</v>
      </c>
      <c r="B56" s="80">
        <v>5.85</v>
      </c>
      <c r="C56" s="50"/>
      <c r="D56" s="85"/>
      <c r="E56" s="68" t="s">
        <v>70</v>
      </c>
      <c r="F56" s="80">
        <v>1.98</v>
      </c>
      <c r="G56" s="50"/>
      <c r="H56" s="69"/>
    </row>
    <row r="57" spans="1:8" x14ac:dyDescent="0.15">
      <c r="A57" s="68" t="s">
        <v>41</v>
      </c>
      <c r="B57" s="80">
        <v>26.16</v>
      </c>
      <c r="C57" s="50"/>
      <c r="D57" s="85"/>
      <c r="E57" s="68" t="s">
        <v>71</v>
      </c>
      <c r="F57" s="1"/>
      <c r="G57" s="50"/>
      <c r="H57" s="69"/>
    </row>
    <row r="58" spans="1:8" x14ac:dyDescent="0.15">
      <c r="A58" s="68" t="s">
        <v>42</v>
      </c>
      <c r="B58" s="80">
        <v>26.16</v>
      </c>
      <c r="C58" s="50"/>
      <c r="D58" s="85"/>
      <c r="E58" s="68" t="s">
        <v>72</v>
      </c>
      <c r="F58" s="1"/>
      <c r="G58" s="50"/>
      <c r="H58" s="69"/>
    </row>
    <row r="59" spans="1:8" x14ac:dyDescent="0.15">
      <c r="A59" s="68" t="s">
        <v>100</v>
      </c>
      <c r="B59" s="80">
        <v>26.16</v>
      </c>
      <c r="C59" s="50"/>
      <c r="D59" s="85"/>
      <c r="E59" s="3" t="s">
        <v>145</v>
      </c>
      <c r="F59" s="113">
        <v>40.159999999999997</v>
      </c>
      <c r="G59" s="50"/>
      <c r="H59" s="69"/>
    </row>
    <row r="60" spans="1:8" x14ac:dyDescent="0.15">
      <c r="A60" s="1" t="s">
        <v>43</v>
      </c>
      <c r="B60" s="80">
        <v>26.16</v>
      </c>
      <c r="C60" s="50"/>
      <c r="D60" s="85"/>
      <c r="E60" s="3" t="s">
        <v>146</v>
      </c>
      <c r="F60" s="113">
        <v>46.14</v>
      </c>
      <c r="G60" s="50"/>
      <c r="H60" s="69"/>
    </row>
    <row r="61" spans="1:8" ht="13.5" thickBot="1" x14ac:dyDescent="0.2">
      <c r="A61" s="83" t="s">
        <v>47</v>
      </c>
      <c r="B61" s="90">
        <v>14.16</v>
      </c>
      <c r="C61" s="116"/>
      <c r="D61" s="117"/>
      <c r="E61" s="5" t="s">
        <v>144</v>
      </c>
      <c r="F61" s="120">
        <v>20.8</v>
      </c>
      <c r="G61" s="118"/>
      <c r="H61" s="119"/>
    </row>
    <row r="62" spans="1:8" x14ac:dyDescent="0.15">
      <c r="A62" s="99" t="s">
        <v>127</v>
      </c>
      <c r="B62" s="100"/>
      <c r="C62" s="100"/>
      <c r="D62" s="100"/>
      <c r="E62" s="103"/>
      <c r="F62" s="103"/>
      <c r="G62" s="103"/>
      <c r="H62" s="104"/>
    </row>
    <row r="63" spans="1:8" ht="13.5" thickBot="1" x14ac:dyDescent="0.2">
      <c r="A63" s="105"/>
      <c r="B63" s="106"/>
      <c r="C63" s="106"/>
      <c r="D63" s="106"/>
      <c r="E63" s="106"/>
      <c r="F63" s="106"/>
      <c r="G63" s="106"/>
      <c r="H63" s="107"/>
    </row>
  </sheetData>
  <mergeCells count="4">
    <mergeCell ref="F2:H2"/>
    <mergeCell ref="F3:H3"/>
    <mergeCell ref="F4:H4"/>
    <mergeCell ref="F5:H5"/>
  </mergeCells>
  <pageMargins left="0.51181102362204722" right="0.31496062992125984" top="0.35433070866141736" bottom="0.35433070866141736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07AF-C957-4358-B833-462CC3C5F34B}">
  <dimension ref="A1:H63"/>
  <sheetViews>
    <sheetView workbookViewId="0">
      <selection activeCell="G29" sqref="G29"/>
    </sheetView>
  </sheetViews>
  <sheetFormatPr defaultRowHeight="12.75" x14ac:dyDescent="0.15"/>
  <cols>
    <col min="1" max="1" width="17.39453125" customWidth="1"/>
    <col min="2" max="2" width="6.875" customWidth="1"/>
    <col min="3" max="4" width="9.3046875" customWidth="1"/>
    <col min="5" max="5" width="18.47265625" customWidth="1"/>
    <col min="6" max="6" width="6.875" customWidth="1"/>
    <col min="7" max="8" width="9.3046875" customWidth="1"/>
  </cols>
  <sheetData>
    <row r="1" spans="1:8" ht="13.5" thickBot="1" x14ac:dyDescent="0.2">
      <c r="A1" s="108"/>
      <c r="B1" s="109"/>
      <c r="C1" s="109"/>
      <c r="D1" s="109"/>
      <c r="E1" s="110" t="s">
        <v>148</v>
      </c>
      <c r="F1" s="109"/>
      <c r="G1" s="109"/>
      <c r="H1" s="111"/>
    </row>
    <row r="2" spans="1:8" x14ac:dyDescent="0.15">
      <c r="A2" s="95" t="s">
        <v>0</v>
      </c>
      <c r="B2" s="56"/>
      <c r="C2" s="57"/>
      <c r="D2" s="58"/>
      <c r="E2" s="93" t="s">
        <v>77</v>
      </c>
      <c r="F2" s="165"/>
      <c r="G2" s="166"/>
      <c r="H2" s="167"/>
    </row>
    <row r="3" spans="1:8" x14ac:dyDescent="0.15">
      <c r="A3" s="96" t="s">
        <v>1</v>
      </c>
      <c r="B3" s="64"/>
      <c r="C3" s="65"/>
      <c r="D3" s="66"/>
      <c r="E3" s="94" t="s">
        <v>126</v>
      </c>
      <c r="F3" s="168"/>
      <c r="G3" s="169"/>
      <c r="H3" s="170"/>
    </row>
    <row r="4" spans="1:8" x14ac:dyDescent="0.15">
      <c r="A4" s="96" t="s">
        <v>2</v>
      </c>
      <c r="B4" s="64"/>
      <c r="C4" s="65"/>
      <c r="D4" s="66"/>
      <c r="E4" s="94" t="s">
        <v>76</v>
      </c>
      <c r="F4" s="168"/>
      <c r="G4" s="169"/>
      <c r="H4" s="170"/>
    </row>
    <row r="5" spans="1:8" ht="13.5" thickBot="1" x14ac:dyDescent="0.2">
      <c r="A5" s="97" t="s">
        <v>3</v>
      </c>
      <c r="B5" s="64"/>
      <c r="C5" s="65"/>
      <c r="D5" s="66"/>
      <c r="E5" s="67"/>
      <c r="F5" s="168"/>
      <c r="G5" s="169"/>
      <c r="H5" s="170"/>
    </row>
    <row r="6" spans="1:8" x14ac:dyDescent="0.15">
      <c r="A6" s="60"/>
      <c r="B6" s="91" t="s">
        <v>73</v>
      </c>
      <c r="C6" s="91" t="s">
        <v>74</v>
      </c>
      <c r="D6" s="91" t="s">
        <v>75</v>
      </c>
      <c r="E6" s="61"/>
      <c r="F6" s="91" t="s">
        <v>73</v>
      </c>
      <c r="G6" s="91" t="s">
        <v>74</v>
      </c>
      <c r="H6" s="92" t="s">
        <v>75</v>
      </c>
    </row>
    <row r="7" spans="1:8" x14ac:dyDescent="0.15">
      <c r="A7" s="68" t="s">
        <v>4</v>
      </c>
      <c r="B7" s="80">
        <f>('2023'!B7/100)*103.9</f>
        <v>2.5975000000000001</v>
      </c>
      <c r="C7" s="50"/>
      <c r="D7" s="50"/>
      <c r="E7" s="50" t="s">
        <v>99</v>
      </c>
      <c r="F7" s="80">
        <f>('2023'!F7/100)*103.9</f>
        <v>16.613610000000001</v>
      </c>
      <c r="G7" s="50"/>
      <c r="H7" s="69"/>
    </row>
    <row r="8" spans="1:8" x14ac:dyDescent="0.15">
      <c r="A8" s="68" t="s">
        <v>5</v>
      </c>
      <c r="B8" s="80">
        <f>('2023'!B8/100)*103.9</f>
        <v>2.5975000000000001</v>
      </c>
      <c r="C8" s="50"/>
      <c r="D8" s="50"/>
      <c r="E8" s="50" t="s">
        <v>45</v>
      </c>
      <c r="F8" s="80">
        <f>('2023'!F8/100)*103.9</f>
        <v>3.8754700000000004</v>
      </c>
      <c r="G8" s="50"/>
      <c r="H8" s="69"/>
    </row>
    <row r="9" spans="1:8" x14ac:dyDescent="0.15">
      <c r="A9" s="68" t="s">
        <v>54</v>
      </c>
      <c r="B9" s="80">
        <f>('2023'!B9/100)*103.9</f>
        <v>4.3014600000000005</v>
      </c>
      <c r="C9" s="50"/>
      <c r="D9" s="50"/>
      <c r="E9" s="50" t="s">
        <v>46</v>
      </c>
      <c r="F9" s="80">
        <f>('2023'!F9/100)*103.9</f>
        <v>14.712240000000001</v>
      </c>
      <c r="G9" s="50"/>
      <c r="H9" s="69"/>
    </row>
    <row r="10" spans="1:8" x14ac:dyDescent="0.15">
      <c r="A10" s="68" t="s">
        <v>107</v>
      </c>
      <c r="B10" s="80">
        <f>('2023'!B10/100)*103.9</f>
        <v>1.7247400000000002</v>
      </c>
      <c r="C10" s="50"/>
      <c r="D10" s="50"/>
      <c r="E10" s="50" t="s">
        <v>96</v>
      </c>
      <c r="F10" s="80">
        <f>('2023'!F10/100)*103.9</f>
        <v>3.8754700000000004</v>
      </c>
      <c r="G10" s="50"/>
      <c r="H10" s="69"/>
    </row>
    <row r="11" spans="1:8" x14ac:dyDescent="0.15">
      <c r="A11" s="68" t="s">
        <v>6</v>
      </c>
      <c r="B11" s="80">
        <f>('2023'!B11/100)*103.9</f>
        <v>16.218789999999998</v>
      </c>
      <c r="C11" s="50"/>
      <c r="D11" s="50"/>
      <c r="E11" s="50" t="s">
        <v>48</v>
      </c>
      <c r="F11" s="80">
        <f>('2023'!F11/100)*103.9</f>
        <v>13.849870000000001</v>
      </c>
      <c r="G11" s="50"/>
      <c r="H11" s="69"/>
    </row>
    <row r="12" spans="1:8" x14ac:dyDescent="0.15">
      <c r="A12" s="68" t="s">
        <v>7</v>
      </c>
      <c r="B12" s="80">
        <f>('2023'!B12/100)*103.9</f>
        <v>16.218789999999998</v>
      </c>
      <c r="C12" s="50"/>
      <c r="D12" s="50"/>
      <c r="E12" s="50" t="s">
        <v>94</v>
      </c>
      <c r="F12" s="80">
        <f>('2023'!F12/100)*103.9</f>
        <v>3.8754700000000004</v>
      </c>
      <c r="G12" s="50"/>
      <c r="H12" s="69"/>
    </row>
    <row r="13" spans="1:8" x14ac:dyDescent="0.15">
      <c r="A13" s="68" t="s">
        <v>8</v>
      </c>
      <c r="B13" s="80">
        <f>('2023'!B13/100)*103.9</f>
        <v>16.218789999999998</v>
      </c>
      <c r="C13" s="50"/>
      <c r="D13" s="50"/>
      <c r="E13" s="50" t="s">
        <v>49</v>
      </c>
      <c r="F13" s="80">
        <f>('2023'!F13/100)*103.9</f>
        <v>3.8754700000000004</v>
      </c>
      <c r="G13" s="50"/>
      <c r="H13" s="69"/>
    </row>
    <row r="14" spans="1:8" x14ac:dyDescent="0.15">
      <c r="A14" s="68" t="s">
        <v>9</v>
      </c>
      <c r="B14" s="80">
        <f>('2023'!B14/100)*103.9</f>
        <v>16.218789999999998</v>
      </c>
      <c r="C14" s="50"/>
      <c r="D14" s="50"/>
      <c r="E14" s="50" t="s">
        <v>50</v>
      </c>
      <c r="F14" s="80">
        <f>('2023'!F14/100)*103.9</f>
        <v>3.8754700000000004</v>
      </c>
      <c r="G14" s="50"/>
      <c r="H14" s="69"/>
    </row>
    <row r="15" spans="1:8" x14ac:dyDescent="0.15">
      <c r="A15" s="68" t="s">
        <v>10</v>
      </c>
      <c r="B15" s="80">
        <f>('2023'!B15/100)*103.9</f>
        <v>16.218789999999998</v>
      </c>
      <c r="C15" s="50"/>
      <c r="D15" s="50"/>
      <c r="E15" s="50" t="s">
        <v>51</v>
      </c>
      <c r="F15" s="80">
        <f>('2023'!F15/100)*103.9</f>
        <v>3.8754700000000004</v>
      </c>
      <c r="G15" s="50"/>
      <c r="H15" s="69"/>
    </row>
    <row r="16" spans="1:8" x14ac:dyDescent="0.15">
      <c r="A16" s="68" t="s">
        <v>11</v>
      </c>
      <c r="B16" s="80">
        <f>('2023'!B16/100)*103.9</f>
        <v>16.218789999999998</v>
      </c>
      <c r="C16" s="50"/>
      <c r="D16" s="50"/>
      <c r="E16" s="50" t="s">
        <v>52</v>
      </c>
      <c r="F16" s="80">
        <f>('2023'!F16/100)*103.9</f>
        <v>3.8754700000000004</v>
      </c>
      <c r="G16" s="50"/>
      <c r="H16" s="69"/>
    </row>
    <row r="17" spans="1:8" x14ac:dyDescent="0.15">
      <c r="A17" s="68" t="s">
        <v>12</v>
      </c>
      <c r="B17" s="80">
        <f>('2023'!B17/100)*103.9</f>
        <v>12.166690000000001</v>
      </c>
      <c r="C17" s="50"/>
      <c r="D17" s="50"/>
      <c r="E17" s="50" t="s">
        <v>53</v>
      </c>
      <c r="F17" s="80">
        <f>('2023'!F17/100)*103.9</f>
        <v>3.8754700000000004</v>
      </c>
      <c r="G17" s="50"/>
      <c r="H17" s="69"/>
    </row>
    <row r="18" spans="1:8" x14ac:dyDescent="0.15">
      <c r="A18" s="68" t="s">
        <v>13</v>
      </c>
      <c r="B18" s="80">
        <f>('2023'!B18/100)*103.9</f>
        <v>12.166690000000001</v>
      </c>
      <c r="C18" s="50"/>
      <c r="D18" s="1"/>
      <c r="E18" s="1" t="s">
        <v>134</v>
      </c>
      <c r="F18" s="80">
        <f>('2023'!F18/100)*103.9</f>
        <v>5.3508500000000003</v>
      </c>
      <c r="G18" s="50"/>
      <c r="H18" s="69"/>
    </row>
    <row r="19" spans="1:8" x14ac:dyDescent="0.15">
      <c r="A19" s="68" t="s">
        <v>14</v>
      </c>
      <c r="B19" s="80">
        <f>('2023'!B19/100)*103.9</f>
        <v>8.1145900000000015</v>
      </c>
      <c r="C19" s="50"/>
      <c r="D19" s="50"/>
      <c r="E19" s="1" t="s">
        <v>135</v>
      </c>
      <c r="F19" s="80">
        <f>('2023'!F19/100)*103.9</f>
        <v>10.701700000000001</v>
      </c>
      <c r="G19" s="50"/>
      <c r="H19" s="69"/>
    </row>
    <row r="20" spans="1:8" x14ac:dyDescent="0.15">
      <c r="A20" s="68" t="s">
        <v>15</v>
      </c>
      <c r="B20" s="80">
        <f>('2023'!B20/100)*103.9</f>
        <v>8.1145900000000015</v>
      </c>
      <c r="C20" s="50"/>
      <c r="D20" s="50"/>
      <c r="E20" s="1" t="s">
        <v>136</v>
      </c>
      <c r="F20" s="80">
        <f>('2023'!F20/100)*103.9</f>
        <v>16.05255</v>
      </c>
      <c r="G20" s="50"/>
      <c r="H20" s="69"/>
    </row>
    <row r="21" spans="1:8" x14ac:dyDescent="0.15">
      <c r="A21" s="68" t="s">
        <v>16</v>
      </c>
      <c r="B21" s="80">
        <f>('2023'!B21/100)*103.9</f>
        <v>8.1145900000000015</v>
      </c>
      <c r="C21" s="50"/>
      <c r="D21" s="50"/>
      <c r="E21" s="1" t="s">
        <v>137</v>
      </c>
      <c r="F21" s="80">
        <f>('2023'!F21/100)*103.9</f>
        <v>21.403400000000001</v>
      </c>
      <c r="G21" s="50"/>
      <c r="H21" s="69"/>
    </row>
    <row r="22" spans="1:8" x14ac:dyDescent="0.15">
      <c r="A22" s="68" t="s">
        <v>17</v>
      </c>
      <c r="B22" s="80">
        <f>('2023'!B22/100)*103.9</f>
        <v>8.1145900000000015</v>
      </c>
      <c r="C22" s="50"/>
      <c r="D22" s="50"/>
      <c r="E22" s="1" t="s">
        <v>138</v>
      </c>
      <c r="F22" s="80">
        <f>('2023'!F22/100)*103.9</f>
        <v>26.754250000000003</v>
      </c>
      <c r="G22" s="50"/>
      <c r="H22" s="69"/>
    </row>
    <row r="23" spans="1:8" x14ac:dyDescent="0.15">
      <c r="A23" s="68" t="s">
        <v>18</v>
      </c>
      <c r="B23" s="80">
        <f>('2023'!B23/100)*103.9</f>
        <v>6.0781499999999999</v>
      </c>
      <c r="C23" s="50"/>
      <c r="D23" s="50"/>
      <c r="E23" s="1" t="s">
        <v>139</v>
      </c>
      <c r="F23" s="80">
        <v>32.1</v>
      </c>
      <c r="G23" s="50"/>
      <c r="H23" s="69"/>
    </row>
    <row r="24" spans="1:8" x14ac:dyDescent="0.15">
      <c r="A24" s="68" t="s">
        <v>19</v>
      </c>
      <c r="B24" s="80">
        <f>('2023'!B24/100)*103.9</f>
        <v>6.0781499999999999</v>
      </c>
      <c r="C24" s="50"/>
      <c r="D24" s="50"/>
      <c r="E24" s="1" t="s">
        <v>140</v>
      </c>
      <c r="F24" s="80">
        <v>23.28</v>
      </c>
      <c r="G24" s="50"/>
      <c r="H24" s="69"/>
    </row>
    <row r="25" spans="1:8" x14ac:dyDescent="0.15">
      <c r="A25" s="68" t="s">
        <v>112</v>
      </c>
      <c r="B25" s="80">
        <f>('2023'!B25/100)*103.9</f>
        <v>4.0521000000000003</v>
      </c>
      <c r="C25" s="50"/>
      <c r="D25" s="50"/>
      <c r="E25" s="82" t="s">
        <v>97</v>
      </c>
      <c r="F25" s="80">
        <f>('2023'!F25/100)*103.9</f>
        <v>14.192740000000001</v>
      </c>
      <c r="G25" s="50"/>
      <c r="H25" s="69"/>
    </row>
    <row r="26" spans="1:8" x14ac:dyDescent="0.15">
      <c r="A26" s="68" t="s">
        <v>20</v>
      </c>
      <c r="B26" s="80">
        <f>('2023'!B26/100)*103.9</f>
        <v>4.0521000000000003</v>
      </c>
      <c r="C26" s="50"/>
      <c r="D26" s="50"/>
      <c r="E26" s="114" t="s">
        <v>141</v>
      </c>
      <c r="F26" s="80">
        <f>('2023'!F26/100)*103.9</f>
        <v>14.192740000000001</v>
      </c>
      <c r="G26" s="50"/>
      <c r="H26" s="69"/>
    </row>
    <row r="27" spans="1:8" x14ac:dyDescent="0.15">
      <c r="A27" s="68" t="s">
        <v>21</v>
      </c>
      <c r="B27" s="80">
        <f>('2023'!B27/100)*103.9</f>
        <v>20.270890000000005</v>
      </c>
      <c r="C27" s="50"/>
      <c r="D27" s="50"/>
      <c r="E27" s="115" t="s">
        <v>142</v>
      </c>
      <c r="F27" s="80">
        <f>('2023'!F27/100)*103.9</f>
        <v>18.24484</v>
      </c>
      <c r="G27" s="50"/>
      <c r="H27" s="69"/>
    </row>
    <row r="28" spans="1:8" x14ac:dyDescent="0.15">
      <c r="A28" s="68" t="s">
        <v>22</v>
      </c>
      <c r="B28" s="80">
        <f>('2023'!B28/100)*103.9</f>
        <v>16.218789999999998</v>
      </c>
      <c r="C28" s="50"/>
      <c r="D28" s="50"/>
      <c r="E28" s="50" t="s">
        <v>106</v>
      </c>
      <c r="F28" s="80">
        <v>9.4499999999999993</v>
      </c>
      <c r="G28" s="50"/>
      <c r="H28" s="69"/>
    </row>
    <row r="29" spans="1:8" x14ac:dyDescent="0.15">
      <c r="A29" s="81" t="s">
        <v>119</v>
      </c>
      <c r="B29" s="80">
        <f>('2023'!B29/100)*103.9</f>
        <v>12.166690000000001</v>
      </c>
      <c r="C29" s="50"/>
      <c r="D29" s="50"/>
      <c r="E29" s="50" t="s">
        <v>44</v>
      </c>
      <c r="F29" s="80">
        <v>5</v>
      </c>
      <c r="G29" s="50"/>
      <c r="H29" s="69"/>
    </row>
    <row r="30" spans="1:8" x14ac:dyDescent="0.15">
      <c r="A30" s="3" t="s">
        <v>131</v>
      </c>
      <c r="B30" s="80">
        <f>('2023'!B30/100)*103.9</f>
        <v>15.210960000000002</v>
      </c>
      <c r="C30" s="50"/>
      <c r="D30" s="50"/>
      <c r="E30" s="50" t="s">
        <v>110</v>
      </c>
      <c r="F30" s="80">
        <f>('2023'!F30/100)*103.9</f>
        <v>4.0105399999999998</v>
      </c>
      <c r="G30" s="50"/>
      <c r="H30" s="69"/>
    </row>
    <row r="31" spans="1:8" x14ac:dyDescent="0.15">
      <c r="A31" s="112" t="s">
        <v>132</v>
      </c>
      <c r="B31" s="80">
        <f>('2023'!B31/100)*103.9</f>
        <v>10.140639999999999</v>
      </c>
      <c r="C31" s="50"/>
      <c r="D31" s="50"/>
      <c r="E31" s="50" t="s">
        <v>82</v>
      </c>
      <c r="F31" s="80">
        <v>49.73</v>
      </c>
      <c r="G31" s="50"/>
      <c r="H31" s="69"/>
    </row>
    <row r="32" spans="1:8" x14ac:dyDescent="0.15">
      <c r="A32" s="112" t="s">
        <v>133</v>
      </c>
      <c r="B32" s="80">
        <f>('2023'!B32/100)*103.9</f>
        <v>8.1145900000000015</v>
      </c>
      <c r="C32" s="50"/>
      <c r="D32" s="50"/>
      <c r="E32" s="50" t="s">
        <v>83</v>
      </c>
      <c r="F32" s="80">
        <f>('2023'!F32/100)*103.9</f>
        <v>12.99789</v>
      </c>
      <c r="G32" s="50"/>
      <c r="H32" s="69"/>
    </row>
    <row r="33" spans="1:8" x14ac:dyDescent="0.15">
      <c r="A33" s="68" t="s">
        <v>23</v>
      </c>
      <c r="B33" s="80">
        <f>('2023'!B33/100)*103.9</f>
        <v>4.3741900000000005</v>
      </c>
      <c r="C33" s="50"/>
      <c r="D33" s="50"/>
      <c r="E33" s="50" t="s">
        <v>59</v>
      </c>
      <c r="F33" s="80">
        <f>('2023'!F33/100)*103.9</f>
        <v>43.554880000000004</v>
      </c>
      <c r="G33" s="50"/>
      <c r="H33" s="69"/>
    </row>
    <row r="34" spans="1:8" x14ac:dyDescent="0.15">
      <c r="A34" s="68" t="s">
        <v>24</v>
      </c>
      <c r="B34" s="80">
        <f>('2023'!B34/100)*103.9</f>
        <v>4.3741900000000005</v>
      </c>
      <c r="C34" s="50"/>
      <c r="D34" s="50"/>
      <c r="E34" s="50" t="s">
        <v>60</v>
      </c>
      <c r="F34" s="80">
        <f>('2023'!F34/100)*103.9</f>
        <v>37.850770000000004</v>
      </c>
      <c r="G34" s="50"/>
      <c r="H34" s="69"/>
    </row>
    <row r="35" spans="1:8" x14ac:dyDescent="0.15">
      <c r="A35" s="68" t="s">
        <v>64</v>
      </c>
      <c r="B35" s="80">
        <v>2.78</v>
      </c>
      <c r="C35" s="50"/>
      <c r="D35" s="50"/>
      <c r="E35" s="50" t="s">
        <v>61</v>
      </c>
      <c r="F35" s="80">
        <v>37.85</v>
      </c>
      <c r="G35" s="50"/>
      <c r="H35" s="69"/>
    </row>
    <row r="36" spans="1:8" x14ac:dyDescent="0.15">
      <c r="A36" s="68" t="s">
        <v>25</v>
      </c>
      <c r="B36" s="80">
        <f>('2023'!B36/100)*103.9</f>
        <v>9.12242</v>
      </c>
      <c r="C36" s="50"/>
      <c r="D36" s="50"/>
      <c r="E36" s="50" t="s">
        <v>102</v>
      </c>
      <c r="F36" s="80">
        <v>14.68</v>
      </c>
      <c r="G36" s="50"/>
      <c r="H36" s="69"/>
    </row>
    <row r="37" spans="1:8" x14ac:dyDescent="0.15">
      <c r="A37" s="68" t="s">
        <v>26</v>
      </c>
      <c r="B37" s="80">
        <f>('2023'!B37/100)*103.9</f>
        <v>9.12242</v>
      </c>
      <c r="C37" s="50"/>
      <c r="D37" s="50"/>
      <c r="E37" s="50" t="s">
        <v>63</v>
      </c>
      <c r="F37" s="80">
        <f>('2023'!F37/100)*103.9</f>
        <v>2.7637400000000003</v>
      </c>
      <c r="G37" s="50"/>
      <c r="H37" s="69"/>
    </row>
    <row r="38" spans="1:8" x14ac:dyDescent="0.15">
      <c r="A38" s="68" t="s">
        <v>27</v>
      </c>
      <c r="B38" s="80">
        <f>('2023'!B38/100)*103.9</f>
        <v>3.0442700000000005</v>
      </c>
      <c r="C38" s="50"/>
      <c r="D38" s="50"/>
      <c r="E38" s="50" t="s">
        <v>62</v>
      </c>
      <c r="F38" s="80">
        <f>('2023'!F38/100)*103.9</f>
        <v>6.6392100000000003</v>
      </c>
      <c r="G38" s="50"/>
      <c r="H38" s="69"/>
    </row>
    <row r="39" spans="1:8" x14ac:dyDescent="0.15">
      <c r="A39" s="68" t="s">
        <v>28</v>
      </c>
      <c r="B39" s="80">
        <f>('2023'!B39/100)*103.9</f>
        <v>3.0442700000000005</v>
      </c>
      <c r="C39" s="50"/>
      <c r="D39" s="50"/>
      <c r="E39" s="50" t="s">
        <v>114</v>
      </c>
      <c r="F39" s="80">
        <f>('2023'!F39/100)*103.9</f>
        <v>294.25518999999997</v>
      </c>
      <c r="G39" s="50"/>
      <c r="H39" s="69"/>
    </row>
    <row r="40" spans="1:8" x14ac:dyDescent="0.15">
      <c r="A40" s="68" t="s">
        <v>29</v>
      </c>
      <c r="B40" s="80">
        <v>3.81</v>
      </c>
      <c r="C40" s="50"/>
      <c r="D40" s="50"/>
      <c r="E40" s="50" t="s">
        <v>115</v>
      </c>
      <c r="F40" s="80">
        <f>('2023'!F40/100)*103.9</f>
        <v>148.61856</v>
      </c>
      <c r="G40" s="50"/>
      <c r="H40" s="69"/>
    </row>
    <row r="41" spans="1:8" x14ac:dyDescent="0.15">
      <c r="A41" s="68" t="s">
        <v>30</v>
      </c>
      <c r="B41" s="80">
        <v>3.81</v>
      </c>
      <c r="C41" s="50"/>
      <c r="D41" s="50"/>
      <c r="E41" s="50" t="s">
        <v>122</v>
      </c>
      <c r="F41" s="80">
        <v>5.97</v>
      </c>
      <c r="G41" s="50"/>
      <c r="H41" s="69"/>
    </row>
    <row r="42" spans="1:8" x14ac:dyDescent="0.15">
      <c r="A42" s="68" t="s">
        <v>31</v>
      </c>
      <c r="B42" s="80">
        <f>('2023'!B42/100)*103.9</f>
        <v>5.0703199999999997</v>
      </c>
      <c r="C42" s="50"/>
      <c r="D42" s="50"/>
      <c r="E42" s="50" t="s">
        <v>108</v>
      </c>
      <c r="F42" s="80">
        <f>('2023'!F42/100)*103.9</f>
        <v>6.6288200000000002</v>
      </c>
      <c r="G42" s="50"/>
      <c r="H42" s="69"/>
    </row>
    <row r="43" spans="1:8" x14ac:dyDescent="0.15">
      <c r="A43" s="68" t="s">
        <v>32</v>
      </c>
      <c r="B43" s="80">
        <f>('2023'!B43/100)*103.9</f>
        <v>3.0442700000000005</v>
      </c>
      <c r="C43" s="50"/>
      <c r="D43" s="50"/>
      <c r="E43" s="50" t="s">
        <v>65</v>
      </c>
      <c r="F43" s="80">
        <f>('2023'!F43/100)*103.9</f>
        <v>7.9691300000000007</v>
      </c>
      <c r="G43" s="50"/>
      <c r="H43" s="69"/>
    </row>
    <row r="44" spans="1:8" x14ac:dyDescent="0.15">
      <c r="A44" s="68" t="s">
        <v>98</v>
      </c>
      <c r="B44" s="80">
        <f>('2023'!B44/100)*103.9</f>
        <v>6.0781499999999999</v>
      </c>
      <c r="C44" s="50"/>
      <c r="D44" s="50"/>
      <c r="E44" s="50" t="s">
        <v>66</v>
      </c>
      <c r="F44" s="80">
        <f>('2023'!F44/100)*103.9</f>
        <v>11.89655</v>
      </c>
      <c r="G44" s="50"/>
      <c r="H44" s="69"/>
    </row>
    <row r="45" spans="1:8" x14ac:dyDescent="0.15">
      <c r="A45" s="68" t="s">
        <v>91</v>
      </c>
      <c r="B45" s="80">
        <f>('2023'!B45/100)*103.9</f>
        <v>16.218789999999998</v>
      </c>
      <c r="C45" s="50"/>
      <c r="D45" s="50"/>
      <c r="E45" s="83" t="s">
        <v>84</v>
      </c>
      <c r="F45" s="80">
        <v>20.8</v>
      </c>
      <c r="G45" s="50"/>
      <c r="H45" s="69"/>
    </row>
    <row r="46" spans="1:8" x14ac:dyDescent="0.15">
      <c r="A46" s="68" t="s">
        <v>92</v>
      </c>
      <c r="B46" s="80">
        <f>('2023'!B46/100)*103.9</f>
        <v>16.218789999999998</v>
      </c>
      <c r="C46" s="50"/>
      <c r="D46" s="50"/>
      <c r="E46" s="50" t="s">
        <v>123</v>
      </c>
      <c r="F46" s="80">
        <f>('2023'!F46/100)*103.9</f>
        <v>10.036740000000002</v>
      </c>
      <c r="G46" s="50"/>
      <c r="H46" s="69"/>
    </row>
    <row r="47" spans="1:8" x14ac:dyDescent="0.15">
      <c r="A47" s="68" t="s">
        <v>93</v>
      </c>
      <c r="B47" s="80">
        <v>8.1300000000000008</v>
      </c>
      <c r="C47" s="50"/>
      <c r="D47" s="85"/>
      <c r="E47" s="1" t="s">
        <v>147</v>
      </c>
      <c r="F47" s="80">
        <f>('2023'!F47/100)*103.9</f>
        <v>6.088540000000001</v>
      </c>
      <c r="G47" s="50"/>
      <c r="H47" s="69"/>
    </row>
    <row r="48" spans="1:8" ht="13.5" thickBot="1" x14ac:dyDescent="0.2">
      <c r="A48" s="68" t="s">
        <v>113</v>
      </c>
      <c r="B48" s="80">
        <f>('2023'!B48/100)*103.9</f>
        <v>26.754250000000003</v>
      </c>
      <c r="C48" s="50"/>
      <c r="D48" s="85"/>
      <c r="E48" s="37"/>
      <c r="F48" s="90"/>
      <c r="G48" s="83"/>
      <c r="H48" s="84"/>
    </row>
    <row r="49" spans="1:8" x14ac:dyDescent="0.15">
      <c r="A49" s="68" t="s">
        <v>33</v>
      </c>
      <c r="B49" s="80">
        <f>('2023'!B49/100)*103.9</f>
        <v>18.72278</v>
      </c>
      <c r="C49" s="50"/>
      <c r="D49" s="85"/>
      <c r="E49" s="60" t="s">
        <v>101</v>
      </c>
      <c r="F49" s="86"/>
      <c r="G49" s="61"/>
      <c r="H49" s="62"/>
    </row>
    <row r="50" spans="1:8" x14ac:dyDescent="0.15">
      <c r="A50" s="68" t="s">
        <v>34</v>
      </c>
      <c r="B50" s="80">
        <f>('2023'!B50/100)*103.9</f>
        <v>14.712240000000001</v>
      </c>
      <c r="C50" s="50"/>
      <c r="D50" s="85"/>
      <c r="E50" s="68" t="s">
        <v>67</v>
      </c>
      <c r="F50" s="80"/>
      <c r="G50" s="50"/>
      <c r="H50" s="69"/>
    </row>
    <row r="51" spans="1:8" x14ac:dyDescent="0.15">
      <c r="A51" s="68" t="s">
        <v>35</v>
      </c>
      <c r="B51" s="80">
        <f>('2023'!B51/100)*103.9</f>
        <v>10.701700000000001</v>
      </c>
      <c r="C51" s="50"/>
      <c r="D51" s="85"/>
      <c r="E51" s="68" t="s">
        <v>68</v>
      </c>
      <c r="F51" s="80">
        <f>('2023'!F51/100)*103.9</f>
        <v>3.34558</v>
      </c>
      <c r="G51" s="50"/>
      <c r="H51" s="69"/>
    </row>
    <row r="52" spans="1:8" x14ac:dyDescent="0.15">
      <c r="A52" s="68" t="s">
        <v>36</v>
      </c>
      <c r="B52" s="80">
        <f>('2023'!B52/100)*103.9</f>
        <v>9.12242</v>
      </c>
      <c r="C52" s="50"/>
      <c r="D52" s="85"/>
      <c r="E52" s="3" t="s">
        <v>124</v>
      </c>
      <c r="F52" s="80">
        <f>('2023'!F52/100)*103.9</f>
        <v>9.4652900000000013</v>
      </c>
      <c r="G52" s="50"/>
      <c r="H52" s="69"/>
    </row>
    <row r="53" spans="1:8" x14ac:dyDescent="0.15">
      <c r="A53" s="68" t="s">
        <v>37</v>
      </c>
      <c r="B53" s="80">
        <f>('2023'!B53/100)*103.9</f>
        <v>8.1145900000000015</v>
      </c>
      <c r="C53" s="50"/>
      <c r="D53" s="85"/>
      <c r="E53" s="68" t="s">
        <v>129</v>
      </c>
      <c r="F53" s="80">
        <f>('2023'!F53/100)*103.9</f>
        <v>11.148470000000001</v>
      </c>
      <c r="G53" s="50"/>
      <c r="H53" s="69"/>
    </row>
    <row r="54" spans="1:8" x14ac:dyDescent="0.15">
      <c r="A54" s="68" t="s">
        <v>38</v>
      </c>
      <c r="B54" s="80">
        <f>('2023'!B54/100)*103.9</f>
        <v>8.1145900000000015</v>
      </c>
      <c r="C54" s="50"/>
      <c r="D54" s="85"/>
      <c r="E54" s="3" t="s">
        <v>143</v>
      </c>
      <c r="F54" s="80">
        <f>('2023'!F54/100)*103.9</f>
        <v>4.56121</v>
      </c>
      <c r="G54" s="50"/>
      <c r="H54" s="69"/>
    </row>
    <row r="55" spans="1:8" x14ac:dyDescent="0.15">
      <c r="A55" s="68" t="s">
        <v>39</v>
      </c>
      <c r="B55" s="80">
        <f>('2023'!B55/100)*103.9</f>
        <v>6.0781499999999999</v>
      </c>
      <c r="C55" s="50"/>
      <c r="D55" s="85"/>
      <c r="E55" s="68" t="s">
        <v>80</v>
      </c>
      <c r="F55" s="80"/>
      <c r="G55" s="50"/>
      <c r="H55" s="69"/>
    </row>
    <row r="56" spans="1:8" x14ac:dyDescent="0.15">
      <c r="A56" s="68" t="s">
        <v>40</v>
      </c>
      <c r="B56" s="80">
        <f>('2023'!B56/100)*103.9</f>
        <v>6.0781499999999999</v>
      </c>
      <c r="C56" s="50"/>
      <c r="D56" s="85"/>
      <c r="E56" s="68" t="s">
        <v>70</v>
      </c>
      <c r="F56" s="80">
        <f>('2023'!F56/100)*103.9</f>
        <v>2.05722</v>
      </c>
      <c r="G56" s="50"/>
      <c r="H56" s="69"/>
    </row>
    <row r="57" spans="1:8" x14ac:dyDescent="0.15">
      <c r="A57" s="68" t="s">
        <v>41</v>
      </c>
      <c r="B57" s="80">
        <f>('2023'!B57/100)*103.9</f>
        <v>27.180240000000001</v>
      </c>
      <c r="C57" s="50"/>
      <c r="D57" s="85"/>
      <c r="E57" s="68" t="s">
        <v>71</v>
      </c>
      <c r="F57" s="80"/>
      <c r="G57" s="50"/>
      <c r="H57" s="69"/>
    </row>
    <row r="58" spans="1:8" x14ac:dyDescent="0.15">
      <c r="A58" s="68" t="s">
        <v>42</v>
      </c>
      <c r="B58" s="80">
        <f>('2023'!B58/100)*103.9</f>
        <v>27.180240000000001</v>
      </c>
      <c r="C58" s="50"/>
      <c r="D58" s="85"/>
      <c r="E58" s="68" t="s">
        <v>72</v>
      </c>
      <c r="F58" s="80"/>
      <c r="G58" s="50"/>
      <c r="H58" s="69"/>
    </row>
    <row r="59" spans="1:8" x14ac:dyDescent="0.15">
      <c r="A59" s="68" t="s">
        <v>100</v>
      </c>
      <c r="B59" s="80">
        <f>('2023'!B59/100)*103.9</f>
        <v>27.180240000000001</v>
      </c>
      <c r="C59" s="50"/>
      <c r="D59" s="85"/>
      <c r="E59" s="3" t="s">
        <v>145</v>
      </c>
      <c r="F59" s="80">
        <f>('2023'!F59/100)*103.9</f>
        <v>41.726239999999997</v>
      </c>
      <c r="G59" s="50"/>
      <c r="H59" s="69"/>
    </row>
    <row r="60" spans="1:8" x14ac:dyDescent="0.15">
      <c r="A60" s="3" t="s">
        <v>43</v>
      </c>
      <c r="B60" s="80">
        <f>('2023'!B60/100)*103.9</f>
        <v>27.180240000000001</v>
      </c>
      <c r="C60" s="50"/>
      <c r="D60" s="85"/>
      <c r="E60" s="3" t="s">
        <v>146</v>
      </c>
      <c r="F60" s="80">
        <f>('2023'!F60/100)*103.9</f>
        <v>47.939460000000004</v>
      </c>
      <c r="G60" s="50"/>
      <c r="H60" s="69"/>
    </row>
    <row r="61" spans="1:8" ht="13.5" thickBot="1" x14ac:dyDescent="0.2">
      <c r="A61" s="121" t="s">
        <v>47</v>
      </c>
      <c r="B61" s="80">
        <f>('2023'!B61/100)*103.9</f>
        <v>14.712240000000001</v>
      </c>
      <c r="C61" s="116"/>
      <c r="D61" s="117"/>
      <c r="E61" s="5" t="s">
        <v>144</v>
      </c>
      <c r="F61" s="88">
        <f>('2023'!F61/100)*103.9</f>
        <v>21.611200000000004</v>
      </c>
      <c r="G61" s="118"/>
      <c r="H61" s="119"/>
    </row>
    <row r="62" spans="1:8" x14ac:dyDescent="0.15">
      <c r="A62" s="99" t="s">
        <v>127</v>
      </c>
      <c r="B62" s="100"/>
      <c r="C62" s="100"/>
      <c r="D62" s="100"/>
      <c r="E62" s="103"/>
      <c r="F62" s="103"/>
      <c r="G62" s="103"/>
      <c r="H62" s="104"/>
    </row>
    <row r="63" spans="1:8" ht="13.5" thickBot="1" x14ac:dyDescent="0.2">
      <c r="A63" s="105"/>
      <c r="B63" s="106"/>
      <c r="C63" s="106"/>
      <c r="D63" s="106"/>
      <c r="E63" s="106"/>
      <c r="F63" s="106"/>
      <c r="G63" s="106"/>
      <c r="H63" s="107"/>
    </row>
  </sheetData>
  <mergeCells count="4">
    <mergeCell ref="F2:H2"/>
    <mergeCell ref="F3:H3"/>
    <mergeCell ref="F4:H4"/>
    <mergeCell ref="F5:H5"/>
  </mergeCells>
  <pageMargins left="0.62992125984251968" right="0.23622047244094491" top="0.35433070866141736" bottom="0.35433070866141736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98DA-EE16-435B-A19A-1BEC1FD851EC}">
  <dimension ref="A1:H63"/>
  <sheetViews>
    <sheetView tabSelected="1" topLeftCell="G1" workbookViewId="0">
      <selection activeCell="L17" sqref="L17"/>
    </sheetView>
  </sheetViews>
  <sheetFormatPr defaultRowHeight="12.75" x14ac:dyDescent="0.15"/>
  <cols>
    <col min="1" max="1" width="14.96875" customWidth="1"/>
    <col min="5" max="5" width="17.39453125" customWidth="1"/>
  </cols>
  <sheetData>
    <row r="1" spans="1:8" ht="13.5" thickBot="1" x14ac:dyDescent="0.2">
      <c r="A1" s="122"/>
      <c r="B1" s="123"/>
      <c r="C1" s="123"/>
      <c r="D1" s="123"/>
      <c r="E1" s="124" t="s">
        <v>149</v>
      </c>
      <c r="F1" s="123"/>
      <c r="G1" s="123"/>
      <c r="H1" s="125"/>
    </row>
    <row r="2" spans="1:8" x14ac:dyDescent="0.15">
      <c r="A2" s="126" t="s">
        <v>0</v>
      </c>
      <c r="B2" s="127"/>
      <c r="C2" s="128"/>
      <c r="D2" s="129"/>
      <c r="E2" s="130" t="s">
        <v>77</v>
      </c>
      <c r="F2" s="174"/>
      <c r="G2" s="175"/>
      <c r="H2" s="176"/>
    </row>
    <row r="3" spans="1:8" x14ac:dyDescent="0.15">
      <c r="A3" s="131" t="s">
        <v>1</v>
      </c>
      <c r="B3" s="132"/>
      <c r="C3" s="133"/>
      <c r="D3" s="134"/>
      <c r="E3" s="135" t="s">
        <v>126</v>
      </c>
      <c r="F3" s="177"/>
      <c r="G3" s="178"/>
      <c r="H3" s="179"/>
    </row>
    <row r="4" spans="1:8" x14ac:dyDescent="0.15">
      <c r="A4" s="131" t="s">
        <v>2</v>
      </c>
      <c r="B4" s="132"/>
      <c r="C4" s="133"/>
      <c r="D4" s="134"/>
      <c r="E4" s="135" t="s">
        <v>76</v>
      </c>
      <c r="F4" s="177"/>
      <c r="G4" s="178"/>
      <c r="H4" s="179"/>
    </row>
    <row r="5" spans="1:8" ht="13.5" thickBot="1" x14ac:dyDescent="0.2">
      <c r="A5" s="136" t="s">
        <v>3</v>
      </c>
      <c r="B5" s="132"/>
      <c r="C5" s="133"/>
      <c r="D5" s="134"/>
      <c r="E5" s="137"/>
      <c r="F5" s="177"/>
      <c r="G5" s="178"/>
      <c r="H5" s="179"/>
    </row>
    <row r="6" spans="1:8" x14ac:dyDescent="0.15">
      <c r="A6" s="138"/>
      <c r="B6" s="139" t="s">
        <v>73</v>
      </c>
      <c r="C6" s="139" t="s">
        <v>74</v>
      </c>
      <c r="D6" s="139" t="s">
        <v>75</v>
      </c>
      <c r="E6" s="140"/>
      <c r="F6" s="139" t="s">
        <v>73</v>
      </c>
      <c r="G6" s="139" t="s">
        <v>74</v>
      </c>
      <c r="H6" s="141" t="s">
        <v>75</v>
      </c>
    </row>
    <row r="7" spans="1:8" x14ac:dyDescent="0.15">
      <c r="A7" s="142" t="s">
        <v>4</v>
      </c>
      <c r="B7" s="2">
        <f>('2024'!B7/100)*103</f>
        <v>2.6754250000000002</v>
      </c>
      <c r="C7" s="8"/>
      <c r="D7" s="8"/>
      <c r="E7" s="8" t="s">
        <v>99</v>
      </c>
      <c r="F7" s="2">
        <v>17.12</v>
      </c>
      <c r="G7" s="8"/>
      <c r="H7" s="143"/>
    </row>
    <row r="8" spans="1:8" x14ac:dyDescent="0.15">
      <c r="A8" s="142" t="s">
        <v>5</v>
      </c>
      <c r="B8" s="2">
        <f>('2024'!B8/100)*103</f>
        <v>2.6754250000000002</v>
      </c>
      <c r="C8" s="8"/>
      <c r="D8" s="8"/>
      <c r="E8" s="8" t="s">
        <v>45</v>
      </c>
      <c r="F8" s="2">
        <f>('2024'!F8/100)*103</f>
        <v>3.9917341000000004</v>
      </c>
      <c r="G8" s="8"/>
      <c r="H8" s="143"/>
    </row>
    <row r="9" spans="1:8" x14ac:dyDescent="0.15">
      <c r="A9" s="142" t="s">
        <v>54</v>
      </c>
      <c r="B9" s="2">
        <f>('2024'!B9/100)*103</f>
        <v>4.4305038000000003</v>
      </c>
      <c r="C9" s="8"/>
      <c r="D9" s="8"/>
      <c r="E9" s="8" t="s">
        <v>46</v>
      </c>
      <c r="F9" s="2">
        <f>('2024'!F9/100)*103</f>
        <v>15.153607200000001</v>
      </c>
      <c r="G9" s="8"/>
      <c r="H9" s="143"/>
    </row>
    <row r="10" spans="1:8" x14ac:dyDescent="0.15">
      <c r="A10" s="142" t="s">
        <v>107</v>
      </c>
      <c r="B10" s="2">
        <v>1.77</v>
      </c>
      <c r="C10" s="8"/>
      <c r="D10" s="8"/>
      <c r="E10" s="8" t="s">
        <v>96</v>
      </c>
      <c r="F10" s="2">
        <f>('2024'!F10/100)*103</f>
        <v>3.9917341000000004</v>
      </c>
      <c r="G10" s="8"/>
      <c r="H10" s="143"/>
    </row>
    <row r="11" spans="1:8" x14ac:dyDescent="0.15">
      <c r="A11" s="142" t="s">
        <v>6</v>
      </c>
      <c r="B11" s="2">
        <f>('2024'!B11/100)*103</f>
        <v>16.7053537</v>
      </c>
      <c r="C11" s="8"/>
      <c r="D11" s="8"/>
      <c r="E11" s="8" t="s">
        <v>48</v>
      </c>
      <c r="F11" s="2">
        <v>14.26</v>
      </c>
      <c r="G11" s="8"/>
      <c r="H11" s="143"/>
    </row>
    <row r="12" spans="1:8" x14ac:dyDescent="0.15">
      <c r="A12" s="142" t="s">
        <v>7</v>
      </c>
      <c r="B12" s="2">
        <f>('2024'!B12/100)*103</f>
        <v>16.7053537</v>
      </c>
      <c r="C12" s="8"/>
      <c r="D12" s="8"/>
      <c r="E12" s="8" t="s">
        <v>94</v>
      </c>
      <c r="F12" s="2">
        <f>('2024'!F12/100)*103</f>
        <v>3.9917341000000004</v>
      </c>
      <c r="G12" s="8"/>
      <c r="H12" s="143"/>
    </row>
    <row r="13" spans="1:8" x14ac:dyDescent="0.15">
      <c r="A13" s="142" t="s">
        <v>8</v>
      </c>
      <c r="B13" s="2">
        <f>('2024'!B13/100)*103</f>
        <v>16.7053537</v>
      </c>
      <c r="C13" s="8"/>
      <c r="D13" s="8"/>
      <c r="E13" s="8" t="s">
        <v>49</v>
      </c>
      <c r="F13" s="2">
        <f>('2024'!F13/100)*103</f>
        <v>3.9917341000000004</v>
      </c>
      <c r="G13" s="8"/>
      <c r="H13" s="143"/>
    </row>
    <row r="14" spans="1:8" x14ac:dyDescent="0.15">
      <c r="A14" s="142" t="s">
        <v>9</v>
      </c>
      <c r="B14" s="2">
        <f>('2024'!B14/100)*103</f>
        <v>16.7053537</v>
      </c>
      <c r="C14" s="8"/>
      <c r="D14" s="8"/>
      <c r="E14" s="8" t="s">
        <v>50</v>
      </c>
      <c r="F14" s="2">
        <f>('2024'!F14/100)*103</f>
        <v>3.9917341000000004</v>
      </c>
      <c r="G14" s="8"/>
      <c r="H14" s="143"/>
    </row>
    <row r="15" spans="1:8" x14ac:dyDescent="0.15">
      <c r="A15" s="142" t="s">
        <v>10</v>
      </c>
      <c r="B15" s="2">
        <f>('2024'!B15/100)*103</f>
        <v>16.7053537</v>
      </c>
      <c r="C15" s="8"/>
      <c r="D15" s="8"/>
      <c r="E15" s="8" t="s">
        <v>51</v>
      </c>
      <c r="F15" s="2">
        <f>('2024'!F15/100)*103</f>
        <v>3.9917341000000004</v>
      </c>
      <c r="G15" s="8"/>
      <c r="H15" s="143"/>
    </row>
    <row r="16" spans="1:8" x14ac:dyDescent="0.15">
      <c r="A16" s="142" t="s">
        <v>11</v>
      </c>
      <c r="B16" s="2">
        <f>('2024'!B16/100)*103</f>
        <v>16.7053537</v>
      </c>
      <c r="C16" s="8"/>
      <c r="D16" s="8"/>
      <c r="E16" s="8" t="s">
        <v>52</v>
      </c>
      <c r="F16" s="2">
        <f>('2024'!F16/100)*103</f>
        <v>3.9917341000000004</v>
      </c>
      <c r="G16" s="8"/>
      <c r="H16" s="143"/>
    </row>
    <row r="17" spans="1:8" x14ac:dyDescent="0.15">
      <c r="A17" s="142" t="s">
        <v>12</v>
      </c>
      <c r="B17" s="2">
        <f>('2024'!B17/100)*103</f>
        <v>12.5316907</v>
      </c>
      <c r="C17" s="8"/>
      <c r="D17" s="8"/>
      <c r="E17" s="8" t="s">
        <v>53</v>
      </c>
      <c r="F17" s="2">
        <f>('2024'!F17/100)*103</f>
        <v>3.9917341000000004</v>
      </c>
      <c r="G17" s="8"/>
      <c r="H17" s="143"/>
    </row>
    <row r="18" spans="1:8" x14ac:dyDescent="0.15">
      <c r="A18" s="142" t="s">
        <v>13</v>
      </c>
      <c r="B18" s="2">
        <f>('2024'!B18/100)*103</f>
        <v>12.5316907</v>
      </c>
      <c r="C18" s="8"/>
      <c r="D18" s="8"/>
      <c r="E18" s="8" t="s">
        <v>134</v>
      </c>
      <c r="F18" s="2">
        <f>('2024'!F18/100)*103</f>
        <v>5.5113754999999998</v>
      </c>
      <c r="G18" s="8"/>
      <c r="H18" s="143"/>
    </row>
    <row r="19" spans="1:8" x14ac:dyDescent="0.15">
      <c r="A19" s="142" t="s">
        <v>14</v>
      </c>
      <c r="B19" s="2">
        <v>8.35</v>
      </c>
      <c r="C19" s="8"/>
      <c r="D19" s="8"/>
      <c r="E19" s="8" t="s">
        <v>135</v>
      </c>
      <c r="F19" s="2">
        <f>('2024'!F19/100)*103</f>
        <v>11.022751</v>
      </c>
      <c r="G19" s="8"/>
      <c r="H19" s="143"/>
    </row>
    <row r="20" spans="1:8" x14ac:dyDescent="0.15">
      <c r="A20" s="142" t="s">
        <v>15</v>
      </c>
      <c r="B20" s="2">
        <v>8.35</v>
      </c>
      <c r="C20" s="8"/>
      <c r="D20" s="8"/>
      <c r="E20" s="8" t="s">
        <v>136</v>
      </c>
      <c r="F20" s="2">
        <f>('2024'!F20/100)*103</f>
        <v>16.534126499999999</v>
      </c>
      <c r="G20" s="8"/>
      <c r="H20" s="143"/>
    </row>
    <row r="21" spans="1:8" x14ac:dyDescent="0.15">
      <c r="A21" s="142" t="s">
        <v>16</v>
      </c>
      <c r="B21" s="2">
        <v>8.35</v>
      </c>
      <c r="C21" s="8"/>
      <c r="D21" s="8"/>
      <c r="E21" s="8" t="s">
        <v>137</v>
      </c>
      <c r="F21" s="2">
        <v>22.04</v>
      </c>
      <c r="G21" s="8"/>
      <c r="H21" s="143"/>
    </row>
    <row r="22" spans="1:8" x14ac:dyDescent="0.15">
      <c r="A22" s="142" t="s">
        <v>17</v>
      </c>
      <c r="B22" s="2">
        <v>8.35</v>
      </c>
      <c r="C22" s="8"/>
      <c r="D22" s="8"/>
      <c r="E22" s="8" t="s">
        <v>138</v>
      </c>
      <c r="F22" s="2">
        <v>27.55</v>
      </c>
      <c r="G22" s="8"/>
      <c r="H22" s="143"/>
    </row>
    <row r="23" spans="1:8" x14ac:dyDescent="0.15">
      <c r="A23" s="142" t="s">
        <v>18</v>
      </c>
      <c r="B23" s="2">
        <f>('2024'!B23/100)*103</f>
        <v>6.2604945000000001</v>
      </c>
      <c r="C23" s="8"/>
      <c r="D23" s="8"/>
      <c r="E23" s="8" t="s">
        <v>139</v>
      </c>
      <c r="F23" s="2">
        <f>('2024'!F23/100)*103</f>
        <v>33.063000000000002</v>
      </c>
      <c r="G23" s="8"/>
      <c r="H23" s="143"/>
    </row>
    <row r="24" spans="1:8" x14ac:dyDescent="0.15">
      <c r="A24" s="142" t="s">
        <v>19</v>
      </c>
      <c r="B24" s="2">
        <f>('2024'!B24/100)*103</f>
        <v>6.2604945000000001</v>
      </c>
      <c r="C24" s="8"/>
      <c r="D24" s="8"/>
      <c r="E24" s="8" t="s">
        <v>140</v>
      </c>
      <c r="F24" s="2">
        <v>23.94</v>
      </c>
      <c r="G24" s="8"/>
      <c r="H24" s="143"/>
    </row>
    <row r="25" spans="1:8" x14ac:dyDescent="0.15">
      <c r="A25" s="142" t="s">
        <v>112</v>
      </c>
      <c r="B25" s="2">
        <v>4.18</v>
      </c>
      <c r="C25" s="8"/>
      <c r="D25" s="8"/>
      <c r="E25" s="144" t="s">
        <v>97</v>
      </c>
      <c r="F25" s="2">
        <f>('2024'!F25/100)*103</f>
        <v>14.618522200000001</v>
      </c>
      <c r="G25" s="8"/>
      <c r="H25" s="143"/>
    </row>
    <row r="26" spans="1:8" x14ac:dyDescent="0.15">
      <c r="A26" s="142" t="s">
        <v>20</v>
      </c>
      <c r="B26" s="2">
        <v>4.18</v>
      </c>
      <c r="C26" s="8"/>
      <c r="D26" s="8"/>
      <c r="E26" s="144" t="s">
        <v>141</v>
      </c>
      <c r="F26" s="2">
        <f>('2024'!F26/100)*103</f>
        <v>14.618522200000001</v>
      </c>
      <c r="G26" s="8"/>
      <c r="H26" s="143"/>
    </row>
    <row r="27" spans="1:8" x14ac:dyDescent="0.15">
      <c r="A27" s="142" t="s">
        <v>21</v>
      </c>
      <c r="B27" s="2">
        <f>('2024'!B27/100)*103</f>
        <v>20.879016700000005</v>
      </c>
      <c r="C27" s="8"/>
      <c r="D27" s="8"/>
      <c r="E27" s="145" t="s">
        <v>142</v>
      </c>
      <c r="F27" s="2">
        <f>('2024'!F27/100)*103</f>
        <v>18.792185200000002</v>
      </c>
      <c r="G27" s="8"/>
      <c r="H27" s="143"/>
    </row>
    <row r="28" spans="1:8" x14ac:dyDescent="0.15">
      <c r="A28" s="142" t="s">
        <v>22</v>
      </c>
      <c r="B28" s="2">
        <f>('2024'!B28/100)*103</f>
        <v>16.7053537</v>
      </c>
      <c r="C28" s="8"/>
      <c r="D28" s="8"/>
      <c r="E28" s="8" t="s">
        <v>106</v>
      </c>
      <c r="F28" s="2">
        <f>('2024'!F28/100)*103</f>
        <v>9.7334999999999994</v>
      </c>
      <c r="G28" s="8"/>
      <c r="H28" s="143"/>
    </row>
    <row r="29" spans="1:8" x14ac:dyDescent="0.15">
      <c r="A29" s="146" t="s">
        <v>119</v>
      </c>
      <c r="B29" s="2">
        <f>('2024'!B29/100)*103</f>
        <v>12.5316907</v>
      </c>
      <c r="C29" s="8"/>
      <c r="D29" s="8"/>
      <c r="E29" s="8" t="s">
        <v>44</v>
      </c>
      <c r="F29" s="2">
        <f>('2024'!F29/100)*103</f>
        <v>5.15</v>
      </c>
      <c r="G29" s="8"/>
      <c r="H29" s="143"/>
    </row>
    <row r="30" spans="1:8" x14ac:dyDescent="0.15">
      <c r="A30" s="142" t="s">
        <v>131</v>
      </c>
      <c r="B30" s="2">
        <v>15.66</v>
      </c>
      <c r="C30" s="8"/>
      <c r="D30" s="8"/>
      <c r="E30" s="8" t="s">
        <v>110</v>
      </c>
      <c r="F30" s="2">
        <f>('2024'!F30/100)*103</f>
        <v>4.1308562000000002</v>
      </c>
      <c r="G30" s="8"/>
      <c r="H30" s="143"/>
    </row>
    <row r="31" spans="1:8" x14ac:dyDescent="0.15">
      <c r="A31" s="142" t="s">
        <v>132</v>
      </c>
      <c r="B31" s="2">
        <f>('2024'!B31/100)*103</f>
        <v>10.4448592</v>
      </c>
      <c r="C31" s="8"/>
      <c r="D31" s="8"/>
      <c r="E31" s="8" t="s">
        <v>82</v>
      </c>
      <c r="F31" s="2">
        <f>('2024'!F31/100)*103</f>
        <v>51.221899999999998</v>
      </c>
      <c r="G31" s="8"/>
      <c r="H31" s="143"/>
    </row>
    <row r="32" spans="1:8" x14ac:dyDescent="0.15">
      <c r="A32" s="142" t="s">
        <v>133</v>
      </c>
      <c r="B32" s="2">
        <v>8.35</v>
      </c>
      <c r="C32" s="8"/>
      <c r="D32" s="8"/>
      <c r="E32" s="8" t="s">
        <v>83</v>
      </c>
      <c r="F32" s="2">
        <f>('2024'!F32/100)*103</f>
        <v>13.387826700000002</v>
      </c>
      <c r="G32" s="8"/>
      <c r="H32" s="143"/>
    </row>
    <row r="33" spans="1:8" x14ac:dyDescent="0.15">
      <c r="A33" s="142" t="s">
        <v>23</v>
      </c>
      <c r="B33" s="2">
        <f>('2024'!B33/100)*103</f>
        <v>4.5054157000000004</v>
      </c>
      <c r="C33" s="8"/>
      <c r="D33" s="8"/>
      <c r="E33" s="8" t="s">
        <v>59</v>
      </c>
      <c r="F33" s="2">
        <f>('2024'!F33/100)*103</f>
        <v>44.86152640000001</v>
      </c>
      <c r="G33" s="8"/>
      <c r="H33" s="143"/>
    </row>
    <row r="34" spans="1:8" x14ac:dyDescent="0.15">
      <c r="A34" s="142" t="s">
        <v>24</v>
      </c>
      <c r="B34" s="2">
        <f>('2024'!B34/100)*103</f>
        <v>4.5054157000000004</v>
      </c>
      <c r="C34" s="8"/>
      <c r="D34" s="8"/>
      <c r="E34" s="8" t="s">
        <v>60</v>
      </c>
      <c r="F34" s="2">
        <f>('2024'!F34/100)*103</f>
        <v>38.986293100000005</v>
      </c>
      <c r="G34" s="8"/>
      <c r="H34" s="143"/>
    </row>
    <row r="35" spans="1:8" x14ac:dyDescent="0.15">
      <c r="A35" s="142" t="s">
        <v>64</v>
      </c>
      <c r="B35" s="2">
        <f>('2024'!B35/100)*103</f>
        <v>2.8633999999999999</v>
      </c>
      <c r="C35" s="8"/>
      <c r="D35" s="8"/>
      <c r="E35" s="8" t="s">
        <v>61</v>
      </c>
      <c r="F35" s="2">
        <f>('2024'!F35/100)*103</f>
        <v>38.985500000000002</v>
      </c>
      <c r="G35" s="8"/>
      <c r="H35" s="143"/>
    </row>
    <row r="36" spans="1:8" x14ac:dyDescent="0.15">
      <c r="A36" s="142" t="s">
        <v>25</v>
      </c>
      <c r="B36" s="2">
        <f>('2024'!B36/100)*103</f>
        <v>9.3960926000000011</v>
      </c>
      <c r="C36" s="8"/>
      <c r="D36" s="8"/>
      <c r="E36" s="8" t="s">
        <v>102</v>
      </c>
      <c r="F36" s="2">
        <f>('2024'!F36/100)*103</f>
        <v>15.120399999999998</v>
      </c>
      <c r="G36" s="8"/>
      <c r="H36" s="143"/>
    </row>
    <row r="37" spans="1:8" x14ac:dyDescent="0.15">
      <c r="A37" s="142" t="s">
        <v>26</v>
      </c>
      <c r="B37" s="2">
        <f>('2024'!B37/100)*103</f>
        <v>9.3960926000000011</v>
      </c>
      <c r="C37" s="8"/>
      <c r="D37" s="8"/>
      <c r="E37" s="8" t="s">
        <v>63</v>
      </c>
      <c r="F37" s="2">
        <f>('2024'!F37/100)*103</f>
        <v>2.8466522000000003</v>
      </c>
      <c r="G37" s="8"/>
      <c r="H37" s="143"/>
    </row>
    <row r="38" spans="1:8" x14ac:dyDescent="0.15">
      <c r="A38" s="142" t="s">
        <v>27</v>
      </c>
      <c r="B38" s="2">
        <v>3.13</v>
      </c>
      <c r="C38" s="8"/>
      <c r="D38" s="8"/>
      <c r="E38" s="8" t="s">
        <v>62</v>
      </c>
      <c r="F38" s="2">
        <f>('2024'!F38/100)*103</f>
        <v>6.8383863000000007</v>
      </c>
      <c r="G38" s="8"/>
      <c r="H38" s="143"/>
    </row>
    <row r="39" spans="1:8" x14ac:dyDescent="0.15">
      <c r="A39" s="142" t="s">
        <v>28</v>
      </c>
      <c r="B39" s="2">
        <v>3.13</v>
      </c>
      <c r="C39" s="8"/>
      <c r="D39" s="8"/>
      <c r="E39" s="8" t="s">
        <v>114</v>
      </c>
      <c r="F39" s="2">
        <f>('2024'!F39/100)*103</f>
        <v>303.08284569999995</v>
      </c>
      <c r="G39" s="8"/>
      <c r="H39" s="143"/>
    </row>
    <row r="40" spans="1:8" x14ac:dyDescent="0.15">
      <c r="A40" s="142" t="s">
        <v>29</v>
      </c>
      <c r="B40" s="2">
        <f>('2024'!B40/100)*103</f>
        <v>3.9243000000000001</v>
      </c>
      <c r="C40" s="8"/>
      <c r="D40" s="8"/>
      <c r="E40" s="8" t="s">
        <v>115</v>
      </c>
      <c r="F40" s="2">
        <v>153.07</v>
      </c>
      <c r="G40" s="8"/>
      <c r="H40" s="143"/>
    </row>
    <row r="41" spans="1:8" x14ac:dyDescent="0.15">
      <c r="A41" s="142" t="s">
        <v>30</v>
      </c>
      <c r="B41" s="2">
        <f>('2024'!B41/100)*103</f>
        <v>3.9243000000000001</v>
      </c>
      <c r="C41" s="8"/>
      <c r="D41" s="8"/>
      <c r="E41" s="8" t="s">
        <v>122</v>
      </c>
      <c r="F41" s="2">
        <f>('2024'!F41/100)*103</f>
        <v>6.1490999999999998</v>
      </c>
      <c r="G41" s="8"/>
      <c r="H41" s="143"/>
    </row>
    <row r="42" spans="1:8" x14ac:dyDescent="0.15">
      <c r="A42" s="142" t="s">
        <v>31</v>
      </c>
      <c r="B42" s="2">
        <f>('2024'!B42/100)*103</f>
        <v>5.2224295999999999</v>
      </c>
      <c r="C42" s="8"/>
      <c r="D42" s="8"/>
      <c r="E42" s="8" t="s">
        <v>108</v>
      </c>
      <c r="F42" s="2">
        <f>('2024'!F42/100)*103</f>
        <v>6.8276846000000004</v>
      </c>
      <c r="G42" s="8"/>
      <c r="H42" s="143"/>
    </row>
    <row r="43" spans="1:8" x14ac:dyDescent="0.15">
      <c r="A43" s="142" t="s">
        <v>32</v>
      </c>
      <c r="B43" s="2">
        <v>3.13</v>
      </c>
      <c r="C43" s="8"/>
      <c r="D43" s="8"/>
      <c r="E43" s="8" t="s">
        <v>65</v>
      </c>
      <c r="F43" s="2">
        <f>('2024'!F43/100)*103</f>
        <v>8.2082039000000009</v>
      </c>
      <c r="G43" s="8"/>
      <c r="H43" s="143"/>
    </row>
    <row r="44" spans="1:8" x14ac:dyDescent="0.15">
      <c r="A44" s="142" t="s">
        <v>98</v>
      </c>
      <c r="B44" s="2">
        <f>('2024'!B44/100)*103</f>
        <v>6.2604945000000001</v>
      </c>
      <c r="C44" s="8"/>
      <c r="D44" s="8"/>
      <c r="E44" s="8" t="s">
        <v>66</v>
      </c>
      <c r="F44" s="2">
        <v>12.26</v>
      </c>
      <c r="G44" s="8"/>
      <c r="H44" s="143"/>
    </row>
    <row r="45" spans="1:8" x14ac:dyDescent="0.15">
      <c r="A45" s="142" t="s">
        <v>91</v>
      </c>
      <c r="B45" s="2">
        <f>('2024'!B45/100)*103</f>
        <v>16.7053537</v>
      </c>
      <c r="C45" s="8"/>
      <c r="D45" s="8"/>
      <c r="E45" s="147" t="s">
        <v>84</v>
      </c>
      <c r="F45" s="2">
        <f>('2024'!F45/100)*103</f>
        <v>21.424000000000003</v>
      </c>
      <c r="G45" s="8"/>
      <c r="H45" s="143"/>
    </row>
    <row r="46" spans="1:8" x14ac:dyDescent="0.15">
      <c r="A46" s="142" t="s">
        <v>92</v>
      </c>
      <c r="B46" s="2">
        <f>('2024'!B46/100)*103</f>
        <v>16.7053537</v>
      </c>
      <c r="C46" s="8"/>
      <c r="D46" s="8"/>
      <c r="E46" s="8" t="s">
        <v>123</v>
      </c>
      <c r="F46" s="2">
        <v>10.33</v>
      </c>
      <c r="G46" s="8"/>
      <c r="H46" s="143"/>
    </row>
    <row r="47" spans="1:8" x14ac:dyDescent="0.15">
      <c r="A47" s="142" t="s">
        <v>93</v>
      </c>
      <c r="B47" s="2">
        <v>8.35</v>
      </c>
      <c r="C47" s="8"/>
      <c r="D47" s="148"/>
      <c r="E47" s="8" t="s">
        <v>147</v>
      </c>
      <c r="F47" s="2">
        <v>6.28</v>
      </c>
      <c r="G47" s="8"/>
      <c r="H47" s="143"/>
    </row>
    <row r="48" spans="1:8" ht="13.5" thickBot="1" x14ac:dyDescent="0.2">
      <c r="A48" s="142" t="s">
        <v>113</v>
      </c>
      <c r="B48" s="2">
        <f>('2024'!B48/100)*103</f>
        <v>27.556877500000002</v>
      </c>
      <c r="C48" s="8"/>
      <c r="D48" s="148"/>
      <c r="E48" s="147"/>
      <c r="F48" s="52"/>
      <c r="G48" s="147"/>
      <c r="H48" s="149"/>
    </row>
    <row r="49" spans="1:8" x14ac:dyDescent="0.15">
      <c r="A49" s="142" t="s">
        <v>33</v>
      </c>
      <c r="B49" s="2">
        <f>('2024'!B49/100)*103</f>
        <v>19.2844634</v>
      </c>
      <c r="C49" s="8"/>
      <c r="D49" s="148"/>
      <c r="E49" s="138" t="s">
        <v>101</v>
      </c>
      <c r="F49" s="48"/>
      <c r="G49" s="140"/>
      <c r="H49" s="150"/>
    </row>
    <row r="50" spans="1:8" x14ac:dyDescent="0.15">
      <c r="A50" s="142" t="s">
        <v>34</v>
      </c>
      <c r="B50" s="2">
        <f>('2024'!B50/100)*103</f>
        <v>15.153607200000001</v>
      </c>
      <c r="C50" s="8"/>
      <c r="D50" s="148"/>
      <c r="E50" s="142" t="s">
        <v>67</v>
      </c>
      <c r="F50" s="2"/>
      <c r="G50" s="8"/>
      <c r="H50" s="143"/>
    </row>
    <row r="51" spans="1:8" x14ac:dyDescent="0.15">
      <c r="A51" s="142" t="s">
        <v>35</v>
      </c>
      <c r="B51" s="2">
        <v>11.03</v>
      </c>
      <c r="C51" s="8"/>
      <c r="D51" s="148"/>
      <c r="E51" s="142" t="s">
        <v>68</v>
      </c>
      <c r="F51" s="2">
        <v>3.45</v>
      </c>
      <c r="G51" s="8"/>
      <c r="H51" s="143"/>
    </row>
    <row r="52" spans="1:8" x14ac:dyDescent="0.15">
      <c r="A52" s="142" t="s">
        <v>36</v>
      </c>
      <c r="B52" s="2">
        <f>('2024'!B52/100)*103</f>
        <v>9.3960926000000011</v>
      </c>
      <c r="C52" s="8"/>
      <c r="D52" s="148"/>
      <c r="E52" s="142" t="s">
        <v>124</v>
      </c>
      <c r="F52" s="2">
        <v>9.67</v>
      </c>
      <c r="G52" s="8"/>
      <c r="H52" s="143"/>
    </row>
    <row r="53" spans="1:8" x14ac:dyDescent="0.15">
      <c r="A53" s="142" t="s">
        <v>37</v>
      </c>
      <c r="B53" s="2">
        <v>8.35</v>
      </c>
      <c r="C53" s="8"/>
      <c r="D53" s="148"/>
      <c r="E53" s="142" t="s">
        <v>129</v>
      </c>
      <c r="F53" s="2">
        <v>11.49</v>
      </c>
      <c r="G53" s="8"/>
      <c r="H53" s="143"/>
    </row>
    <row r="54" spans="1:8" x14ac:dyDescent="0.15">
      <c r="A54" s="142" t="s">
        <v>38</v>
      </c>
      <c r="B54" s="2">
        <v>8.35</v>
      </c>
      <c r="C54" s="8"/>
      <c r="D54" s="148"/>
      <c r="E54" s="142" t="s">
        <v>143</v>
      </c>
      <c r="F54" s="2">
        <v>4.7</v>
      </c>
      <c r="G54" s="8"/>
      <c r="H54" s="143"/>
    </row>
    <row r="55" spans="1:8" x14ac:dyDescent="0.15">
      <c r="A55" s="142" t="s">
        <v>39</v>
      </c>
      <c r="B55" s="2">
        <f>('2024'!B55/100)*103</f>
        <v>6.2604945000000001</v>
      </c>
      <c r="C55" s="8"/>
      <c r="D55" s="148"/>
      <c r="E55" s="142" t="s">
        <v>80</v>
      </c>
      <c r="F55" s="2"/>
      <c r="G55" s="8"/>
      <c r="H55" s="143"/>
    </row>
    <row r="56" spans="1:8" x14ac:dyDescent="0.15">
      <c r="A56" s="142" t="s">
        <v>40</v>
      </c>
      <c r="B56" s="2">
        <f>('2024'!B56/100)*103</f>
        <v>6.2604945000000001</v>
      </c>
      <c r="C56" s="8"/>
      <c r="D56" s="148"/>
      <c r="E56" s="142" t="s">
        <v>70</v>
      </c>
      <c r="F56" s="2">
        <v>2.12</v>
      </c>
      <c r="G56" s="8"/>
      <c r="H56" s="143"/>
    </row>
    <row r="57" spans="1:8" x14ac:dyDescent="0.15">
      <c r="A57" s="142" t="s">
        <v>41</v>
      </c>
      <c r="B57" s="2">
        <v>27.99</v>
      </c>
      <c r="C57" s="8"/>
      <c r="D57" s="148"/>
      <c r="E57" s="142" t="s">
        <v>71</v>
      </c>
      <c r="F57" s="2"/>
      <c r="G57" s="8"/>
      <c r="H57" s="143"/>
    </row>
    <row r="58" spans="1:8" x14ac:dyDescent="0.15">
      <c r="A58" s="142" t="s">
        <v>42</v>
      </c>
      <c r="B58" s="2">
        <v>27.99</v>
      </c>
      <c r="C58" s="8"/>
      <c r="D58" s="148"/>
      <c r="E58" s="142" t="s">
        <v>72</v>
      </c>
      <c r="F58" s="2"/>
      <c r="G58" s="8"/>
      <c r="H58" s="143"/>
    </row>
    <row r="59" spans="1:8" x14ac:dyDescent="0.15">
      <c r="A59" s="142" t="s">
        <v>100</v>
      </c>
      <c r="B59" s="2">
        <v>27.99</v>
      </c>
      <c r="C59" s="8"/>
      <c r="D59" s="148"/>
      <c r="E59" s="142" t="s">
        <v>145</v>
      </c>
      <c r="F59" s="2">
        <v>42.98</v>
      </c>
      <c r="G59" s="8"/>
      <c r="H59" s="143"/>
    </row>
    <row r="60" spans="1:8" x14ac:dyDescent="0.15">
      <c r="A60" s="142" t="s">
        <v>43</v>
      </c>
      <c r="B60" s="2">
        <v>27.99</v>
      </c>
      <c r="C60" s="8"/>
      <c r="D60" s="148"/>
      <c r="E60" s="142" t="s">
        <v>146</v>
      </c>
      <c r="F60" s="2">
        <v>49.38</v>
      </c>
      <c r="G60" s="8"/>
      <c r="H60" s="143"/>
    </row>
    <row r="61" spans="1:8" ht="13.5" thickBot="1" x14ac:dyDescent="0.2">
      <c r="A61" s="151" t="s">
        <v>47</v>
      </c>
      <c r="B61" s="2">
        <f>('2024'!B61/100)*103</f>
        <v>15.153607200000001</v>
      </c>
      <c r="C61" s="152"/>
      <c r="D61" s="153"/>
      <c r="E61" s="154" t="s">
        <v>144</v>
      </c>
      <c r="F61" s="42">
        <v>22.26</v>
      </c>
      <c r="G61" s="155"/>
      <c r="H61" s="156"/>
    </row>
    <row r="62" spans="1:8" x14ac:dyDescent="0.15">
      <c r="A62" s="157" t="s">
        <v>127</v>
      </c>
      <c r="B62" s="158"/>
      <c r="C62" s="158"/>
      <c r="D62" s="158"/>
      <c r="E62" s="159"/>
      <c r="F62" s="159"/>
      <c r="G62" s="159"/>
      <c r="H62" s="160"/>
    </row>
    <row r="63" spans="1:8" ht="13.5" thickBot="1" x14ac:dyDescent="0.2">
      <c r="A63" s="161"/>
      <c r="B63" s="162"/>
      <c r="C63" s="162"/>
      <c r="D63" s="162"/>
      <c r="E63" s="162"/>
      <c r="F63" s="162"/>
      <c r="G63" s="162"/>
      <c r="H63" s="163"/>
    </row>
  </sheetData>
  <mergeCells count="4">
    <mergeCell ref="F2:H2"/>
    <mergeCell ref="F3:H3"/>
    <mergeCell ref="F4:H4"/>
    <mergeCell ref="F5:H5"/>
  </mergeCells>
  <pageMargins left="0.70866141732283472" right="0.70866141732283472" top="0.35433070866141736" bottom="0.35433070866141736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B141F88E2FBC4FB98D48A8E9353E02" ma:contentTypeVersion="6" ma:contentTypeDescription="Opret et nyt dokument." ma:contentTypeScope="" ma:versionID="afba924230e4227dd3d7932965864675">
  <xsd:schema xmlns:xsd="http://www.w3.org/2001/XMLSchema" xmlns:xs="http://www.w3.org/2001/XMLSchema" xmlns:p="http://schemas.microsoft.com/office/2006/metadata/properties" xmlns:ns2="030bee3d-1ce2-4fbb-88cd-0a619017b920" targetNamespace="http://schemas.microsoft.com/office/2006/metadata/properties" ma:root="true" ma:fieldsID="7605a245c28e57c9b4f27f09433f2800" ns2:_="">
    <xsd:import namespace="030bee3d-1ce2-4fbb-88cd-0a619017b9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bee3d-1ce2-4fbb-88cd-0a619017b9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D406D6-6231-4044-9B5D-0383335E4E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A5907A-BFE7-4C37-8A1C-D9938520371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030bee3d-1ce2-4fbb-88cd-0a619017b9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Regneark</vt:lpstr>
      </vt:variant>
      <vt:variant>
        <vt:i4>13</vt:i4>
      </vt:variant>
    </vt:vector>
  </HeadingPairs>
  <TitlesOfParts>
    <vt:vector size="13" baseType="lpstr">
      <vt:lpstr>Faktor</vt:lpstr>
      <vt:lpstr>Ark2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Nielsen</dc:creator>
  <cp:lastModifiedBy>X</cp:lastModifiedBy>
  <cp:lastPrinted>2025-05-14T10:24:30Z</cp:lastPrinted>
  <dcterms:created xsi:type="dcterms:W3CDTF">2003-02-08T14:56:32Z</dcterms:created>
  <dcterms:modified xsi:type="dcterms:W3CDTF">2025-11-15T10:05:59Z</dcterms:modified>
</cp:coreProperties>
</file>