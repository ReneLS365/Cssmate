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2b\AC\Temp\"/>
    </mc:Choice>
  </mc:AlternateContent>
  <xr:revisionPtr revIDLastSave="0" documentId="8_{EEC97B39-A4B0-DA44-AEEC-A4763A89BCDB}" xr6:coauthVersionLast="47" xr6:coauthVersionMax="47" xr10:uidLastSave="{00000000-0000-0000-0000-000000000000}"/>
  <bookViews>
    <workbookView xWindow="-60" yWindow="-60" windowWidth="15480" windowHeight="11640" firstSheet="3" activeTab="11" xr2:uid="{CC80AAAD-68B0-4B0D-A895-241C28E89C48}"/>
  </bookViews>
  <sheets>
    <sheet name="Faktor" sheetId="3" r:id="rId1"/>
    <sheet name="2014" sheetId="1" r:id="rId2"/>
    <sheet name="2015" sheetId="2" r:id="rId3"/>
    <sheet name="2016" sheetId="4" r:id="rId4"/>
    <sheet name="2017" sheetId="5" r:id="rId5"/>
    <sheet name="2018" sheetId="6" r:id="rId6"/>
    <sheet name="2019" sheetId="7" r:id="rId7"/>
    <sheet name="2020" sheetId="8" r:id="rId8"/>
    <sheet name="2021" sheetId="9" r:id="rId9"/>
    <sheet name="2022" sheetId="10" r:id="rId10"/>
    <sheet name="2023" sheetId="11" r:id="rId11"/>
    <sheet name="2025" sheetId="12" r:id="rId12"/>
  </sheets>
  <definedNames>
    <definedName name="_xlnm.Print_Area" localSheetId="1">'2014'!$A$1:$H$53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1" l="1"/>
  <c r="F25" i="11"/>
  <c r="F24" i="11"/>
  <c r="F23" i="11"/>
  <c r="F22" i="11"/>
  <c r="F21" i="11"/>
  <c r="F26" i="10"/>
  <c r="F25" i="10"/>
  <c r="F24" i="10"/>
  <c r="F23" i="10"/>
  <c r="F22" i="10"/>
  <c r="F21" i="10"/>
  <c r="B9" i="8"/>
  <c r="F42" i="8"/>
  <c r="F13" i="6"/>
  <c r="F13" i="7"/>
  <c r="F14" i="6"/>
  <c r="F14" i="7"/>
  <c r="F15" i="6"/>
  <c r="F15" i="7"/>
  <c r="F16" i="6"/>
  <c r="F16" i="7"/>
  <c r="F17" i="6"/>
  <c r="F17" i="7"/>
  <c r="F18" i="6"/>
  <c r="F18" i="7"/>
  <c r="F19" i="6"/>
  <c r="F19" i="7"/>
  <c r="F30" i="6"/>
  <c r="F30" i="7"/>
  <c r="F31" i="6"/>
  <c r="F31" i="7"/>
  <c r="F8" i="2"/>
  <c r="F8" i="4"/>
  <c r="F8" i="6"/>
  <c r="F8" i="7"/>
  <c r="F9" i="2"/>
  <c r="F9" i="4"/>
  <c r="F9" i="6"/>
  <c r="F9" i="7"/>
  <c r="F10" i="2"/>
  <c r="F10" i="4"/>
  <c r="F10" i="6"/>
  <c r="F10" i="7"/>
  <c r="F11" i="2"/>
  <c r="F11" i="4"/>
  <c r="F11" i="6"/>
  <c r="F11" i="7"/>
  <c r="F12" i="2"/>
  <c r="F12" i="4"/>
  <c r="F12" i="6"/>
  <c r="F12" i="7"/>
  <c r="F13" i="2"/>
  <c r="F14" i="2"/>
  <c r="F15" i="2"/>
  <c r="F16" i="2"/>
  <c r="F17" i="2"/>
  <c r="F18" i="2"/>
  <c r="F19" i="2"/>
  <c r="F21" i="2"/>
  <c r="F21" i="4"/>
  <c r="F21" i="6"/>
  <c r="F21" i="7"/>
  <c r="F22" i="2"/>
  <c r="F22" i="4"/>
  <c r="F22" i="6"/>
  <c r="F22" i="7"/>
  <c r="F23" i="2"/>
  <c r="F23" i="4"/>
  <c r="F23" i="6"/>
  <c r="F23" i="7"/>
  <c r="F24" i="2"/>
  <c r="F24" i="4"/>
  <c r="F24" i="6"/>
  <c r="F24" i="7"/>
  <c r="F25" i="2"/>
  <c r="F25" i="4"/>
  <c r="F25" i="6"/>
  <c r="F25" i="7"/>
  <c r="F26" i="2"/>
  <c r="F26" i="4"/>
  <c r="F26" i="6"/>
  <c r="F26" i="7"/>
  <c r="F30" i="2"/>
  <c r="F31" i="2"/>
  <c r="F32" i="2"/>
  <c r="F32" i="4"/>
  <c r="F32" i="6"/>
  <c r="F32" i="7"/>
  <c r="F33" i="2"/>
  <c r="F33" i="4"/>
  <c r="F33" i="6"/>
  <c r="F33" i="7"/>
  <c r="F36" i="2"/>
  <c r="F36" i="4"/>
  <c r="F36" i="6"/>
  <c r="F36" i="7"/>
  <c r="F37" i="2"/>
  <c r="F37" i="4"/>
  <c r="F37" i="6"/>
  <c r="F37" i="7"/>
  <c r="F38" i="2"/>
  <c r="F38" i="4"/>
  <c r="F38" i="6"/>
  <c r="F38" i="7"/>
  <c r="F39" i="2"/>
  <c r="F39" i="4"/>
  <c r="F39" i="6"/>
  <c r="F39" i="7"/>
  <c r="F40" i="2"/>
  <c r="F40" i="4"/>
  <c r="F40" i="6"/>
  <c r="F40" i="7"/>
  <c r="F41" i="2"/>
  <c r="F41" i="4"/>
  <c r="F41" i="6"/>
  <c r="F41" i="7"/>
  <c r="F47" i="2"/>
  <c r="F47" i="4"/>
  <c r="F47" i="5"/>
  <c r="F47" i="6"/>
  <c r="F49" i="2"/>
  <c r="F49" i="4"/>
  <c r="F51" i="2"/>
  <c r="F51" i="4"/>
  <c r="F51" i="5"/>
  <c r="F51" i="6"/>
  <c r="F51" i="7"/>
  <c r="F7" i="2"/>
  <c r="F7" i="4"/>
  <c r="F7" i="6"/>
  <c r="F7" i="7"/>
  <c r="B49" i="2"/>
  <c r="B49" i="4"/>
  <c r="B49" i="5"/>
  <c r="B49" i="7"/>
  <c r="B8" i="2"/>
  <c r="B8" i="4"/>
  <c r="B8" i="6"/>
  <c r="B8" i="7"/>
  <c r="B9" i="2"/>
  <c r="B9" i="4"/>
  <c r="B9" i="6"/>
  <c r="B9" i="7"/>
  <c r="B10" i="2"/>
  <c r="B10" i="4"/>
  <c r="B10" i="6"/>
  <c r="B10" i="7"/>
  <c r="B11" i="2"/>
  <c r="B11" i="4"/>
  <c r="B11" i="6"/>
  <c r="B11" i="7"/>
  <c r="B12" i="2"/>
  <c r="B12" i="4"/>
  <c r="B12" i="6"/>
  <c r="B12" i="7"/>
  <c r="B14" i="2"/>
  <c r="B14" i="4"/>
  <c r="B14" i="6"/>
  <c r="B14" i="7"/>
  <c r="B15" i="2"/>
  <c r="B15" i="4"/>
  <c r="B15" i="6"/>
  <c r="B15" i="7"/>
  <c r="B16" i="2"/>
  <c r="B16" i="4"/>
  <c r="B16" i="6"/>
  <c r="B16" i="7"/>
  <c r="B17" i="2"/>
  <c r="B17" i="4"/>
  <c r="B17" i="6"/>
  <c r="B17" i="7"/>
  <c r="B18" i="2"/>
  <c r="B18" i="4"/>
  <c r="B18" i="6"/>
  <c r="B18" i="7"/>
  <c r="B19" i="2"/>
  <c r="B19" i="4"/>
  <c r="B19" i="6"/>
  <c r="B19" i="7"/>
  <c r="B20" i="2"/>
  <c r="B20" i="4"/>
  <c r="B20" i="6"/>
  <c r="B20" i="7"/>
  <c r="B21" i="2"/>
  <c r="B21" i="4"/>
  <c r="B21" i="6"/>
  <c r="B21" i="7"/>
  <c r="B22" i="2"/>
  <c r="B22" i="4"/>
  <c r="B22" i="6"/>
  <c r="B22" i="7"/>
  <c r="B23" i="2"/>
  <c r="B23" i="4"/>
  <c r="B23" i="6"/>
  <c r="B23" i="7"/>
  <c r="B24" i="2"/>
  <c r="B24" i="4"/>
  <c r="B24" i="6"/>
  <c r="B24" i="7"/>
  <c r="B25" i="2"/>
  <c r="B25" i="4"/>
  <c r="B25" i="6"/>
  <c r="B25" i="7"/>
  <c r="B26" i="2"/>
  <c r="B26" i="4"/>
  <c r="B26" i="5"/>
  <c r="B26" i="6"/>
  <c r="B26" i="7"/>
  <c r="B27" i="2"/>
  <c r="B27" i="4"/>
  <c r="B27" i="5"/>
  <c r="B27" i="6"/>
  <c r="B27" i="7"/>
  <c r="B28" i="2"/>
  <c r="B28" i="4"/>
  <c r="B28" i="6"/>
  <c r="B28" i="7"/>
  <c r="B29" i="2"/>
  <c r="B29" i="4"/>
  <c r="B29" i="6"/>
  <c r="B29" i="7"/>
  <c r="B30" i="2"/>
  <c r="B30" i="4"/>
  <c r="B30" i="6"/>
  <c r="B30" i="7"/>
  <c r="B31" i="2"/>
  <c r="B31" i="4"/>
  <c r="B31" i="6"/>
  <c r="B31" i="7"/>
  <c r="B32" i="2"/>
  <c r="B32" i="4"/>
  <c r="B32" i="6"/>
  <c r="B32" i="7"/>
  <c r="B33" i="2"/>
  <c r="B33" i="4"/>
  <c r="B33" i="6"/>
  <c r="B33" i="7"/>
  <c r="B34" i="2"/>
  <c r="B34" i="4"/>
  <c r="B34" i="6"/>
  <c r="B34" i="7"/>
  <c r="B35" i="2"/>
  <c r="B35" i="4"/>
  <c r="B35" i="6"/>
  <c r="B35" i="7"/>
  <c r="B36" i="2"/>
  <c r="B36" i="4"/>
  <c r="B36" i="6"/>
  <c r="B36" i="7"/>
  <c r="B37" i="2"/>
  <c r="B37" i="4"/>
  <c r="B37" i="6"/>
  <c r="B37" i="7"/>
  <c r="B40" i="2"/>
  <c r="B40" i="4"/>
  <c r="B40" i="6"/>
  <c r="B40" i="7"/>
  <c r="B41" i="2"/>
  <c r="B41" i="4"/>
  <c r="B41" i="6"/>
  <c r="B41" i="7"/>
  <c r="B43" i="2"/>
  <c r="B43" i="4"/>
  <c r="B43" i="5"/>
  <c r="B43" i="7"/>
  <c r="B44" i="2"/>
  <c r="B44" i="4"/>
  <c r="B44" i="6"/>
  <c r="B44" i="7"/>
  <c r="B48" i="2"/>
  <c r="B51" i="2"/>
  <c r="B51" i="4"/>
  <c r="B51" i="6"/>
  <c r="B51" i="7"/>
  <c r="B7" i="2"/>
  <c r="B7" i="4"/>
  <c r="B7" i="6"/>
  <c r="B7" i="7"/>
</calcChain>
</file>

<file path=xl/sharedStrings.xml><?xml version="1.0" encoding="utf-8"?>
<sst xmlns="http://schemas.openxmlformats.org/spreadsheetml/2006/main" count="1003" uniqueCount="115">
  <si>
    <t>Sted</t>
  </si>
  <si>
    <t>Opgave</t>
  </si>
  <si>
    <t>Kunde</t>
  </si>
  <si>
    <t>Sag nr.</t>
  </si>
  <si>
    <t>Samlet pris</t>
  </si>
  <si>
    <t>Pris</t>
  </si>
  <si>
    <t>Antal</t>
  </si>
  <si>
    <t>I alt</t>
  </si>
  <si>
    <t>Dato</t>
  </si>
  <si>
    <t>Mont.</t>
  </si>
  <si>
    <t>Demo.</t>
  </si>
  <si>
    <t>Montør</t>
  </si>
  <si>
    <t>Spindelfod</t>
  </si>
  <si>
    <t>Vertikalstander 300</t>
  </si>
  <si>
    <t>Vertikalstander 200</t>
  </si>
  <si>
    <t>Vertikalstander 150</t>
  </si>
  <si>
    <t>Vertikalstander 100</t>
  </si>
  <si>
    <t xml:space="preserve"> </t>
  </si>
  <si>
    <t>Horisontalrør 300</t>
  </si>
  <si>
    <t>Horisontalrør 250</t>
  </si>
  <si>
    <t>Horisontalrør 200</t>
  </si>
  <si>
    <t>Horisontalrør 150</t>
  </si>
  <si>
    <t>Horisontalrør 125</t>
  </si>
  <si>
    <t>Horisontalrør 113</t>
  </si>
  <si>
    <t>Horisontalrør  74</t>
  </si>
  <si>
    <t>U-profil 113</t>
  </si>
  <si>
    <t>U-profil 300</t>
  </si>
  <si>
    <t>U-profil 250</t>
  </si>
  <si>
    <t>U-profil 200</t>
  </si>
  <si>
    <t>U-profil 150</t>
  </si>
  <si>
    <t>Løftesikring 113</t>
  </si>
  <si>
    <t>Diagonal 200/300</t>
  </si>
  <si>
    <t>Diagonal 200/250</t>
  </si>
  <si>
    <t>Diagonal 200/200</t>
  </si>
  <si>
    <t>Diagonal 200/150</t>
  </si>
  <si>
    <t>Diagonal 200/113</t>
  </si>
  <si>
    <t>Profildæk 32/74</t>
  </si>
  <si>
    <t>Profildæk 32/125</t>
  </si>
  <si>
    <t>Profildæk 32/150</t>
  </si>
  <si>
    <t>Profildæk 32/200</t>
  </si>
  <si>
    <t>Profildæk 32/250</t>
  </si>
  <si>
    <t>Profildæk 32/300</t>
  </si>
  <si>
    <t>MODEX</t>
  </si>
  <si>
    <t>Klodæk 300/70</t>
  </si>
  <si>
    <t>Løftesikring 150</t>
  </si>
  <si>
    <t>Begynderstykke</t>
  </si>
  <si>
    <t>Fodspark 300</t>
  </si>
  <si>
    <t>Fodspark 250</t>
  </si>
  <si>
    <t>Fodspark 200</t>
  </si>
  <si>
    <t>Fodspark 150</t>
  </si>
  <si>
    <t>Fodspark 125</t>
  </si>
  <si>
    <t>Profildæk 70/300</t>
  </si>
  <si>
    <t>Profildæk 70/250</t>
  </si>
  <si>
    <t>Profildæk 70/200</t>
  </si>
  <si>
    <t>Profildæk 70/150</t>
  </si>
  <si>
    <t>Profildæk 70/125</t>
  </si>
  <si>
    <t>Profildæk 70/70</t>
  </si>
  <si>
    <t>Montage pris</t>
  </si>
  <si>
    <t>Demontage pris</t>
  </si>
  <si>
    <t>Luk af hul</t>
  </si>
  <si>
    <t>Tillæg     % +</t>
  </si>
  <si>
    <t>Km</t>
  </si>
  <si>
    <t>Pris pr time</t>
  </si>
  <si>
    <t>Koblinger fast</t>
  </si>
  <si>
    <t>Koblinger dreje</t>
  </si>
  <si>
    <t>Koblinger SK</t>
  </si>
  <si>
    <t>Koblinger Kipfinger</t>
  </si>
  <si>
    <t>Koblinger singel</t>
  </si>
  <si>
    <t>Koblinger samler</t>
  </si>
  <si>
    <t>Røranker</t>
  </si>
  <si>
    <t>Grøn skilt</t>
  </si>
  <si>
    <t>Reklameskilt</t>
  </si>
  <si>
    <t>Strø / trykudligner</t>
  </si>
  <si>
    <t>Alu. Drager pr. m.</t>
  </si>
  <si>
    <t>Stigedæk</t>
  </si>
  <si>
    <t>Klodæk 250/70</t>
  </si>
  <si>
    <t>Stilladsrør 1M</t>
  </si>
  <si>
    <t>Stilladsrør 2M</t>
  </si>
  <si>
    <t>Stilladsrør 3M</t>
  </si>
  <si>
    <t>Stilladsrør 4M</t>
  </si>
  <si>
    <t>Stilladsrør 5M</t>
  </si>
  <si>
    <t>Stilladsrør 6M</t>
  </si>
  <si>
    <t>Skur/Dyrtid</t>
  </si>
  <si>
    <t>Alutrappe 2m</t>
  </si>
  <si>
    <t>Gelænder til trappe</t>
  </si>
  <si>
    <t>Stiger 2m &amp; 3M</t>
  </si>
  <si>
    <t>Bøjleanker</t>
  </si>
  <si>
    <t>Forøgelses faktor</t>
  </si>
  <si>
    <t>MODEX 2016</t>
  </si>
  <si>
    <t>MODEX 2017</t>
  </si>
  <si>
    <t>MODEX 2018</t>
  </si>
  <si>
    <t>MODEX 2019</t>
  </si>
  <si>
    <t>Grønne skilte</t>
  </si>
  <si>
    <t>Opskydeligt rækværk</t>
  </si>
  <si>
    <t xml:space="preserve">Bemærkninger: </t>
  </si>
  <si>
    <t xml:space="preserve">Sag nr. </t>
  </si>
  <si>
    <t>Borring i beton</t>
  </si>
  <si>
    <t>MODEX 2021</t>
  </si>
  <si>
    <t>MODEX 2023</t>
  </si>
  <si>
    <t>Stigedæk 3m</t>
  </si>
  <si>
    <t>Stigedæk 2,5m</t>
  </si>
  <si>
    <t xml:space="preserve">Stigedæk 2m </t>
  </si>
  <si>
    <t>Stilladsrør 6M alu</t>
  </si>
  <si>
    <t>Røranker alu</t>
  </si>
  <si>
    <t>Røranker stål</t>
  </si>
  <si>
    <t>Huller</t>
  </si>
  <si>
    <t>Mentortillæg</t>
  </si>
  <si>
    <t>Udd. tillæg 1</t>
  </si>
  <si>
    <t>Udd. tillæg 2</t>
  </si>
  <si>
    <t>Montagepris</t>
  </si>
  <si>
    <t>Demontagepris</t>
  </si>
  <si>
    <t xml:space="preserve">Huller </t>
  </si>
  <si>
    <t>Tillæg     %+</t>
  </si>
  <si>
    <t>Km.</t>
  </si>
  <si>
    <t>MODEX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</si>
</sst>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1" xfId="0" applyBorder="1"/>
    <xf numFmtId="2" fontId="1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1" fillId="0" borderId="9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right"/>
    </xf>
    <xf numFmtId="0" fontId="0" fillId="0" borderId="14" xfId="0" applyBorder="1"/>
    <xf numFmtId="0" fontId="2" fillId="0" borderId="2" xfId="0" applyFont="1" applyBorder="1"/>
    <xf numFmtId="0" fontId="2" fillId="0" borderId="3" xfId="0" applyFont="1" applyBorder="1"/>
    <xf numFmtId="0" fontId="0" fillId="0" borderId="15" xfId="0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4" xfId="0" applyBorder="1"/>
    <xf numFmtId="2" fontId="0" fillId="0" borderId="1" xfId="0" applyNumberFormat="1" applyBorder="1"/>
    <xf numFmtId="2" fontId="0" fillId="0" borderId="19" xfId="0" applyNumberFormat="1" applyBorder="1"/>
    <xf numFmtId="2" fontId="0" fillId="0" borderId="0" xfId="0" applyNumberFormat="1"/>
    <xf numFmtId="2" fontId="4" fillId="0" borderId="1" xfId="0" applyNumberFormat="1" applyFont="1" applyBorder="1"/>
    <xf numFmtId="0" fontId="0" fillId="0" borderId="25" xfId="0" applyBorder="1"/>
    <xf numFmtId="0" fontId="0" fillId="0" borderId="26" xfId="0" applyBorder="1"/>
    <xf numFmtId="2" fontId="0" fillId="0" borderId="20" xfId="0" applyNumberFormat="1" applyBorder="1"/>
    <xf numFmtId="2" fontId="0" fillId="0" borderId="9" xfId="0" applyNumberFormat="1" applyBorder="1"/>
    <xf numFmtId="2" fontId="1" fillId="0" borderId="0" xfId="0" applyNumberFormat="1" applyFon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23" xfId="0" applyFont="1" applyBorder="1" applyAlignment="1">
      <alignment horizontal="left"/>
    </xf>
    <xf numFmtId="0" fontId="6" fillId="0" borderId="23" xfId="0" applyFont="1" applyBorder="1" applyAlignment="1">
      <alignment horizontal="right"/>
    </xf>
    <xf numFmtId="0" fontId="4" fillId="0" borderId="1" xfId="0" applyFont="1" applyBorder="1"/>
    <xf numFmtId="0" fontId="4" fillId="0" borderId="6" xfId="0" applyFont="1" applyBorder="1"/>
    <xf numFmtId="2" fontId="4" fillId="0" borderId="27" xfId="0" applyNumberFormat="1" applyFont="1" applyBorder="1"/>
    <xf numFmtId="2" fontId="4" fillId="0" borderId="9" xfId="0" applyNumberFormat="1" applyFont="1" applyBorder="1"/>
    <xf numFmtId="10" fontId="0" fillId="0" borderId="0" xfId="0" applyNumberFormat="1"/>
    <xf numFmtId="2" fontId="4" fillId="0" borderId="19" xfId="0" applyNumberFormat="1" applyFont="1" applyBorder="1"/>
    <xf numFmtId="2" fontId="4" fillId="0" borderId="20" xfId="0" applyNumberFormat="1" applyFont="1" applyBorder="1"/>
    <xf numFmtId="0" fontId="0" fillId="0" borderId="0" xfId="0" applyBorder="1"/>
    <xf numFmtId="0" fontId="0" fillId="0" borderId="28" xfId="0" applyBorder="1"/>
    <xf numFmtId="0" fontId="4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" fontId="4" fillId="0" borderId="0" xfId="0" applyNumberFormat="1" applyFont="1" applyBorder="1"/>
    <xf numFmtId="0" fontId="0" fillId="0" borderId="33" xfId="0" applyBorder="1"/>
    <xf numFmtId="2" fontId="4" fillId="0" borderId="34" xfId="0" applyNumberFormat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4" fillId="0" borderId="36" xfId="0" applyFont="1" applyBorder="1"/>
    <xf numFmtId="0" fontId="0" fillId="0" borderId="38" xfId="0" applyBorder="1"/>
    <xf numFmtId="2" fontId="4" fillId="0" borderId="39" xfId="0" applyNumberFormat="1" applyFont="1" applyBorder="1"/>
    <xf numFmtId="0" fontId="0" fillId="0" borderId="39" xfId="0" applyBorder="1"/>
    <xf numFmtId="0" fontId="0" fillId="0" borderId="40" xfId="0" applyBorder="1"/>
    <xf numFmtId="0" fontId="0" fillId="0" borderId="41" xfId="0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43" xfId="0" applyBorder="1" applyAlignment="1">
      <alignment horizontal="right"/>
    </xf>
    <xf numFmtId="0" fontId="0" fillId="0" borderId="44" xfId="0" applyBorder="1" applyAlignment="1">
      <alignment horizontal="right"/>
    </xf>
    <xf numFmtId="0" fontId="2" fillId="0" borderId="16" xfId="0" applyFont="1" applyBorder="1"/>
    <xf numFmtId="0" fontId="2" fillId="0" borderId="17" xfId="0" applyFont="1" applyBorder="1"/>
    <xf numFmtId="0" fontId="0" fillId="0" borderId="38" xfId="0" applyBorder="1" applyAlignment="1">
      <alignment horizontal="right"/>
    </xf>
    <xf numFmtId="0" fontId="0" fillId="0" borderId="45" xfId="0" applyBorder="1"/>
    <xf numFmtId="0" fontId="0" fillId="0" borderId="46" xfId="0" applyBorder="1" applyAlignment="1">
      <alignment horizontal="right"/>
    </xf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8" xfId="0" applyBorder="1"/>
    <xf numFmtId="0" fontId="0" fillId="0" borderId="18" xfId="0" applyBorder="1" applyAlignment="1">
      <alignment horizontal="center"/>
    </xf>
    <xf numFmtId="2" fontId="4" fillId="0" borderId="48" xfId="0" applyNumberFormat="1" applyFont="1" applyBorder="1"/>
    <xf numFmtId="0" fontId="4" fillId="0" borderId="48" xfId="0" applyFont="1" applyBorder="1"/>
    <xf numFmtId="0" fontId="0" fillId="0" borderId="49" xfId="0" applyBorder="1"/>
    <xf numFmtId="0" fontId="0" fillId="0" borderId="50" xfId="0" applyBorder="1"/>
    <xf numFmtId="2" fontId="4" fillId="0" borderId="50" xfId="0" applyNumberFormat="1" applyFont="1" applyBorder="1"/>
    <xf numFmtId="2" fontId="4" fillId="0" borderId="30" xfId="0" applyNumberFormat="1" applyFont="1" applyBorder="1"/>
    <xf numFmtId="0" fontId="0" fillId="0" borderId="51" xfId="0" applyBorder="1"/>
    <xf numFmtId="2" fontId="4" fillId="0" borderId="0" xfId="0" applyNumberFormat="1" applyFont="1"/>
    <xf numFmtId="0" fontId="0" fillId="0" borderId="27" xfId="0" applyBorder="1"/>
    <xf numFmtId="2" fontId="4" fillId="0" borderId="28" xfId="0" applyNumberFormat="1" applyFont="1" applyBorder="1"/>
    <xf numFmtId="0" fontId="0" fillId="0" borderId="52" xfId="0" applyBorder="1"/>
    <xf numFmtId="2" fontId="0" fillId="0" borderId="52" xfId="0" applyNumberFormat="1" applyBorder="1"/>
    <xf numFmtId="0" fontId="0" fillId="0" borderId="5" xfId="0" applyBorder="1"/>
    <xf numFmtId="0" fontId="0" fillId="0" borderId="53" xfId="0" applyFill="1" applyBorder="1"/>
    <xf numFmtId="2" fontId="4" fillId="0" borderId="53" xfId="0" applyNumberFormat="1" applyFont="1" applyFill="1" applyBorder="1"/>
    <xf numFmtId="0" fontId="1" fillId="0" borderId="26" xfId="0" applyFont="1" applyBorder="1"/>
    <xf numFmtId="2" fontId="1" fillId="0" borderId="20" xfId="0" applyNumberFormat="1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5" xfId="0" applyFont="1" applyBorder="1" applyAlignment="1">
      <alignment horizontal="right"/>
    </xf>
    <xf numFmtId="0" fontId="1" fillId="0" borderId="16" xfId="0" applyFont="1" applyBorder="1"/>
    <xf numFmtId="0" fontId="1" fillId="0" borderId="17" xfId="0" applyFont="1" applyBorder="1"/>
    <xf numFmtId="0" fontId="1" fillId="0" borderId="41" xfId="0" applyFont="1" applyBorder="1" applyAlignment="1">
      <alignment horizontal="right"/>
    </xf>
    <xf numFmtId="0" fontId="1" fillId="0" borderId="18" xfId="0" applyFont="1" applyBorder="1"/>
    <xf numFmtId="0" fontId="1" fillId="0" borderId="5" xfId="0" applyFont="1" applyBorder="1" applyAlignment="1">
      <alignment horizontal="right"/>
    </xf>
    <xf numFmtId="0" fontId="7" fillId="0" borderId="2" xfId="0" applyFont="1" applyBorder="1"/>
    <xf numFmtId="0" fontId="1" fillId="0" borderId="3" xfId="0" applyFont="1" applyBorder="1"/>
    <xf numFmtId="0" fontId="1" fillId="0" borderId="42" xfId="0" applyFont="1" applyBorder="1" applyAlignment="1">
      <alignment horizontal="right"/>
    </xf>
    <xf numFmtId="0" fontId="1" fillId="0" borderId="4" xfId="0" applyFont="1" applyBorder="1"/>
    <xf numFmtId="0" fontId="1" fillId="0" borderId="2" xfId="0" applyFont="1" applyBorder="1"/>
    <xf numFmtId="0" fontId="7" fillId="0" borderId="3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/>
    <xf numFmtId="0" fontId="1" fillId="0" borderId="13" xfId="0" applyFont="1" applyBorder="1"/>
    <xf numFmtId="0" fontId="1" fillId="0" borderId="43" xfId="0" applyFont="1" applyBorder="1" applyAlignment="1">
      <alignment horizontal="right"/>
    </xf>
    <xf numFmtId="0" fontId="1" fillId="0" borderId="14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53" xfId="0" applyFont="1" applyFill="1" applyBorder="1"/>
    <xf numFmtId="0" fontId="1" fillId="0" borderId="28" xfId="0" applyFont="1" applyBorder="1"/>
    <xf numFmtId="0" fontId="1" fillId="0" borderId="32" xfId="0" applyFont="1" applyBorder="1"/>
    <xf numFmtId="0" fontId="1" fillId="0" borderId="19" xfId="0" applyFont="1" applyBorder="1"/>
    <xf numFmtId="0" fontId="1" fillId="0" borderId="29" xfId="0" applyFont="1" applyBorder="1"/>
    <xf numFmtId="2" fontId="1" fillId="0" borderId="19" xfId="0" applyNumberFormat="1" applyFont="1" applyBorder="1"/>
    <xf numFmtId="0" fontId="1" fillId="0" borderId="25" xfId="0" applyFont="1" applyBorder="1"/>
    <xf numFmtId="0" fontId="1" fillId="0" borderId="33" xfId="0" applyFont="1" applyBorder="1"/>
    <xf numFmtId="2" fontId="1" fillId="0" borderId="34" xfId="0" applyNumberFormat="1" applyFont="1" applyBorder="1"/>
    <xf numFmtId="0" fontId="1" fillId="0" borderId="34" xfId="0" applyFont="1" applyBorder="1"/>
    <xf numFmtId="0" fontId="1" fillId="0" borderId="35" xfId="0" applyFont="1" applyBorder="1"/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5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18" Type="http://schemas.openxmlformats.org/officeDocument/2006/relationships/customXml" Target="../customXml/item2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4D42-F64B-4E56-9311-2E1A184BF14C}">
  <dimension ref="A1:B10"/>
  <sheetViews>
    <sheetView workbookViewId="0">
      <selection activeCell="C10" sqref="C10"/>
    </sheetView>
  </sheetViews>
  <sheetFormatPr defaultColWidth="8.8984375" defaultRowHeight="12.75" x14ac:dyDescent="0.15"/>
  <sheetData>
    <row r="1" spans="1:2" x14ac:dyDescent="0.15">
      <c r="A1" t="s">
        <v>87</v>
      </c>
    </row>
    <row r="3" spans="1:2" x14ac:dyDescent="0.15">
      <c r="A3">
        <v>2015</v>
      </c>
      <c r="B3" s="49">
        <v>1.4E-2</v>
      </c>
    </row>
    <row r="4" spans="1:2" x14ac:dyDescent="0.15">
      <c r="A4">
        <v>2016</v>
      </c>
      <c r="B4" s="49">
        <v>1.9E-2</v>
      </c>
    </row>
    <row r="5" spans="1:2" x14ac:dyDescent="0.15">
      <c r="A5">
        <v>2017</v>
      </c>
      <c r="B5" s="49">
        <v>1.4E-2</v>
      </c>
    </row>
    <row r="6" spans="1:2" x14ac:dyDescent="0.15">
      <c r="A6">
        <v>2018</v>
      </c>
      <c r="B6" s="49">
        <v>1.9E-2</v>
      </c>
    </row>
    <row r="7" spans="1:2" x14ac:dyDescent="0.15">
      <c r="A7">
        <v>2019</v>
      </c>
      <c r="B7" s="49">
        <v>1.7999999999999999E-2</v>
      </c>
    </row>
    <row r="8" spans="1:2" x14ac:dyDescent="0.15">
      <c r="A8">
        <v>2020</v>
      </c>
      <c r="B8" s="49">
        <v>2.1000000000000001E-2</v>
      </c>
    </row>
    <row r="9" spans="1:2" x14ac:dyDescent="0.15">
      <c r="A9">
        <v>2021</v>
      </c>
      <c r="B9" s="49">
        <v>2.1000000000000001E-2</v>
      </c>
    </row>
    <row r="10" spans="1:2" x14ac:dyDescent="0.15">
      <c r="A10">
        <v>2022</v>
      </c>
      <c r="B10" s="49">
        <v>2.1000000000000001E-2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BA31-C720-4946-9F9F-C28BB4993601}">
  <dimension ref="A1:I60"/>
  <sheetViews>
    <sheetView zoomScale="140" zoomScaleNormal="140" workbookViewId="0">
      <selection activeCell="F13" sqref="F13"/>
    </sheetView>
  </sheetViews>
  <sheetFormatPr defaultColWidth="8.8984375" defaultRowHeight="12.75" x14ac:dyDescent="0.15"/>
  <cols>
    <col min="1" max="1" width="18.47265625" bestFit="1" customWidth="1"/>
    <col min="2" max="2" width="6.47265625" bestFit="1" customWidth="1"/>
    <col min="3" max="3" width="8.8984375" customWidth="1"/>
    <col min="4" max="4" width="15.37109375" customWidth="1"/>
    <col min="5" max="5" width="16.44921875" bestFit="1" customWidth="1"/>
    <col min="6" max="6" width="8.08984375" bestFit="1" customWidth="1"/>
    <col min="7" max="7" width="11.32421875" customWidth="1"/>
    <col min="8" max="8" width="17.93359375" customWidth="1"/>
  </cols>
  <sheetData>
    <row r="1" spans="1:8" ht="21" thickBot="1" x14ac:dyDescent="0.3">
      <c r="A1" s="29"/>
      <c r="B1" s="30"/>
      <c r="C1" s="30"/>
      <c r="D1" s="44" t="s">
        <v>42</v>
      </c>
      <c r="E1" s="43"/>
      <c r="F1" s="30"/>
      <c r="G1" s="30"/>
      <c r="H1" s="31"/>
    </row>
    <row r="2" spans="1:8" x14ac:dyDescent="0.15">
      <c r="A2" s="21" t="s">
        <v>0</v>
      </c>
      <c r="B2" s="22"/>
      <c r="C2" s="23"/>
      <c r="D2" s="23"/>
      <c r="E2" s="24" t="s">
        <v>8</v>
      </c>
      <c r="F2" s="22"/>
      <c r="G2" s="23"/>
      <c r="H2" s="25"/>
    </row>
    <row r="3" spans="1:8" x14ac:dyDescent="0.15">
      <c r="A3" s="7" t="s">
        <v>1</v>
      </c>
      <c r="B3" s="19"/>
      <c r="C3" s="4"/>
      <c r="D3" s="4"/>
      <c r="E3" s="5" t="s">
        <v>9</v>
      </c>
      <c r="F3" s="3"/>
      <c r="G3" s="4"/>
      <c r="H3" s="6"/>
    </row>
    <row r="4" spans="1:8" x14ac:dyDescent="0.15">
      <c r="A4" s="7" t="s">
        <v>2</v>
      </c>
      <c r="B4" s="3"/>
      <c r="C4" s="4"/>
      <c r="D4" s="20"/>
      <c r="E4" s="5" t="s">
        <v>10</v>
      </c>
      <c r="F4" s="3"/>
      <c r="G4" s="4"/>
      <c r="H4" s="6"/>
    </row>
    <row r="5" spans="1:8" ht="13.5" thickBot="1" x14ac:dyDescent="0.2">
      <c r="A5" s="14" t="s">
        <v>3</v>
      </c>
      <c r="B5" s="15"/>
      <c r="C5" s="16"/>
      <c r="D5" s="16"/>
      <c r="E5" s="17" t="s">
        <v>11</v>
      </c>
      <c r="F5" s="15"/>
      <c r="G5" s="16"/>
      <c r="H5" s="18"/>
    </row>
    <row r="6" spans="1:8" x14ac:dyDescent="0.15">
      <c r="A6" s="37"/>
      <c r="B6" s="41" t="s">
        <v>5</v>
      </c>
      <c r="C6" s="41" t="s">
        <v>6</v>
      </c>
      <c r="D6" s="41" t="s">
        <v>7</v>
      </c>
      <c r="E6" s="27"/>
      <c r="F6" s="41" t="s">
        <v>5</v>
      </c>
      <c r="G6" s="41" t="s">
        <v>6</v>
      </c>
      <c r="H6" s="42" t="s">
        <v>7</v>
      </c>
    </row>
    <row r="7" spans="1:8" x14ac:dyDescent="0.15">
      <c r="A7" s="8" t="s">
        <v>12</v>
      </c>
      <c r="B7" s="35">
        <v>2.06</v>
      </c>
      <c r="C7" s="1"/>
      <c r="D7" s="1"/>
      <c r="E7" s="1" t="s">
        <v>41</v>
      </c>
      <c r="F7" s="35">
        <v>3.95</v>
      </c>
      <c r="G7" s="1"/>
      <c r="H7" s="9"/>
    </row>
    <row r="8" spans="1:8" x14ac:dyDescent="0.15">
      <c r="A8" s="8" t="s">
        <v>45</v>
      </c>
      <c r="B8" s="35">
        <v>2.64</v>
      </c>
      <c r="C8" s="1"/>
      <c r="D8" s="1"/>
      <c r="E8" s="1" t="s">
        <v>40</v>
      </c>
      <c r="F8" s="35">
        <v>3.95</v>
      </c>
      <c r="G8" s="1"/>
      <c r="H8" s="9"/>
    </row>
    <row r="9" spans="1:8" x14ac:dyDescent="0.15">
      <c r="A9" s="8" t="s">
        <v>13</v>
      </c>
      <c r="B9" s="35">
        <v>31.48</v>
      </c>
      <c r="C9" s="1"/>
      <c r="D9" s="1"/>
      <c r="E9" s="1" t="s">
        <v>39</v>
      </c>
      <c r="F9" s="35">
        <v>3.95</v>
      </c>
      <c r="G9" s="1"/>
      <c r="H9" s="9"/>
    </row>
    <row r="10" spans="1:8" x14ac:dyDescent="0.15">
      <c r="A10" s="8" t="s">
        <v>14</v>
      </c>
      <c r="B10" s="35">
        <v>20.99</v>
      </c>
      <c r="C10" s="1"/>
      <c r="D10" s="1"/>
      <c r="E10" s="1" t="s">
        <v>38</v>
      </c>
      <c r="F10" s="35">
        <v>1.97</v>
      </c>
      <c r="G10" s="1"/>
      <c r="H10" s="9"/>
    </row>
    <row r="11" spans="1:8" x14ac:dyDescent="0.15">
      <c r="A11" s="8" t="s">
        <v>15</v>
      </c>
      <c r="B11" s="35">
        <v>15.75</v>
      </c>
      <c r="C11" s="1"/>
      <c r="D11" s="1"/>
      <c r="E11" s="1" t="s">
        <v>37</v>
      </c>
      <c r="F11" s="35">
        <v>1.97</v>
      </c>
      <c r="G11" s="1"/>
      <c r="H11" s="9"/>
    </row>
    <row r="12" spans="1:8" x14ac:dyDescent="0.15">
      <c r="A12" s="8" t="s">
        <v>16</v>
      </c>
      <c r="B12" s="35">
        <v>10.49</v>
      </c>
      <c r="C12" s="1"/>
      <c r="D12" s="1"/>
      <c r="E12" s="1" t="s">
        <v>36</v>
      </c>
      <c r="F12" s="35">
        <v>1.97</v>
      </c>
      <c r="G12" s="1"/>
      <c r="H12" s="9"/>
    </row>
    <row r="13" spans="1:8" x14ac:dyDescent="0.15">
      <c r="A13" s="8"/>
      <c r="B13" s="35" t="s">
        <v>17</v>
      </c>
      <c r="C13" s="1"/>
      <c r="D13" s="1"/>
      <c r="E13" s="45" t="s">
        <v>74</v>
      </c>
      <c r="F13" s="35">
        <v>7.91</v>
      </c>
      <c r="G13" s="1"/>
      <c r="H13" s="9"/>
    </row>
    <row r="14" spans="1:8" x14ac:dyDescent="0.15">
      <c r="A14" s="8" t="s">
        <v>18</v>
      </c>
      <c r="B14" s="35">
        <v>4.68</v>
      </c>
      <c r="C14" s="1"/>
      <c r="D14" s="1"/>
      <c r="E14" s="1" t="s">
        <v>51</v>
      </c>
      <c r="F14" s="35">
        <v>7.91</v>
      </c>
      <c r="G14" s="1"/>
      <c r="H14" s="9"/>
    </row>
    <row r="15" spans="1:8" x14ac:dyDescent="0.15">
      <c r="A15" s="8" t="s">
        <v>19</v>
      </c>
      <c r="B15" s="35">
        <v>4.68</v>
      </c>
      <c r="C15" s="1"/>
      <c r="D15" s="1"/>
      <c r="E15" s="1" t="s">
        <v>52</v>
      </c>
      <c r="F15" s="35">
        <v>7.91</v>
      </c>
      <c r="G15" s="1"/>
      <c r="H15" s="9"/>
    </row>
    <row r="16" spans="1:8" x14ac:dyDescent="0.15">
      <c r="A16" s="8" t="s">
        <v>20</v>
      </c>
      <c r="B16" s="35">
        <v>4.68</v>
      </c>
      <c r="C16" s="1"/>
      <c r="D16" s="1"/>
      <c r="E16" s="1" t="s">
        <v>53</v>
      </c>
      <c r="F16" s="35">
        <v>7.91</v>
      </c>
      <c r="G16" s="1"/>
      <c r="H16" s="9"/>
    </row>
    <row r="17" spans="1:8" x14ac:dyDescent="0.15">
      <c r="A17" s="8" t="s">
        <v>21</v>
      </c>
      <c r="B17" s="35">
        <v>4.68</v>
      </c>
      <c r="C17" s="1"/>
      <c r="D17" s="1"/>
      <c r="E17" s="1" t="s">
        <v>54</v>
      </c>
      <c r="F17" s="35">
        <v>3.95</v>
      </c>
      <c r="G17" s="1"/>
      <c r="H17" s="9"/>
    </row>
    <row r="18" spans="1:8" x14ac:dyDescent="0.15">
      <c r="A18" s="8" t="s">
        <v>22</v>
      </c>
      <c r="B18" s="35">
        <v>4.68</v>
      </c>
      <c r="C18" s="1"/>
      <c r="D18" s="1"/>
      <c r="E18" s="1" t="s">
        <v>55</v>
      </c>
      <c r="F18" s="35">
        <v>3.95</v>
      </c>
      <c r="G18" s="1"/>
      <c r="H18" s="9"/>
    </row>
    <row r="19" spans="1:8" x14ac:dyDescent="0.15">
      <c r="A19" s="8" t="s">
        <v>23</v>
      </c>
      <c r="B19" s="35">
        <v>4.68</v>
      </c>
      <c r="C19" s="1"/>
      <c r="D19" s="1"/>
      <c r="E19" s="1" t="s">
        <v>56</v>
      </c>
      <c r="F19" s="35">
        <v>3.95</v>
      </c>
      <c r="G19" s="1"/>
      <c r="H19" s="9"/>
    </row>
    <row r="20" spans="1:8" x14ac:dyDescent="0.15">
      <c r="A20" s="8" t="s">
        <v>24</v>
      </c>
      <c r="B20" s="35">
        <v>4.68</v>
      </c>
      <c r="C20" s="1"/>
      <c r="D20" s="1"/>
      <c r="E20" s="1"/>
      <c r="F20" s="2"/>
      <c r="G20" s="1"/>
      <c r="H20" s="9"/>
    </row>
    <row r="21" spans="1:8" x14ac:dyDescent="0.15">
      <c r="A21" s="8" t="s">
        <v>26</v>
      </c>
      <c r="B21" s="35">
        <v>6.76</v>
      </c>
      <c r="C21" s="1"/>
      <c r="D21" s="1"/>
      <c r="E21" s="1" t="s">
        <v>76</v>
      </c>
      <c r="F21" s="35">
        <v>4.25</v>
      </c>
      <c r="G21" s="1"/>
      <c r="H21" s="9"/>
    </row>
    <row r="22" spans="1:8" x14ac:dyDescent="0.15">
      <c r="A22" s="8" t="s">
        <v>27</v>
      </c>
      <c r="B22" s="35">
        <v>6.76</v>
      </c>
      <c r="C22" s="1"/>
      <c r="D22" s="1"/>
      <c r="E22" s="1" t="s">
        <v>77</v>
      </c>
      <c r="F22" s="35">
        <v>8.5</v>
      </c>
      <c r="G22" s="1"/>
      <c r="H22" s="9"/>
    </row>
    <row r="23" spans="1:8" x14ac:dyDescent="0.15">
      <c r="A23" s="8" t="s">
        <v>28</v>
      </c>
      <c r="B23" s="35">
        <v>6.76</v>
      </c>
      <c r="C23" s="1"/>
      <c r="D23" s="1"/>
      <c r="E23" s="1" t="s">
        <v>78</v>
      </c>
      <c r="F23" s="35">
        <v>12.75</v>
      </c>
      <c r="G23" s="1"/>
      <c r="H23" s="9"/>
    </row>
    <row r="24" spans="1:8" x14ac:dyDescent="0.15">
      <c r="A24" s="8" t="s">
        <v>29</v>
      </c>
      <c r="B24" s="35">
        <v>6.76</v>
      </c>
      <c r="C24" s="1"/>
      <c r="D24" s="1"/>
      <c r="E24" s="1" t="s">
        <v>79</v>
      </c>
      <c r="F24" s="35">
        <v>17</v>
      </c>
      <c r="G24" s="1"/>
      <c r="H24" s="9"/>
    </row>
    <row r="25" spans="1:8" x14ac:dyDescent="0.15">
      <c r="A25" s="8" t="s">
        <v>25</v>
      </c>
      <c r="B25" s="35">
        <v>6.76</v>
      </c>
      <c r="C25" s="1"/>
      <c r="D25" s="1"/>
      <c r="E25" s="1" t="s">
        <v>80</v>
      </c>
      <c r="F25" s="35">
        <v>21.25</v>
      </c>
      <c r="G25" s="1"/>
      <c r="H25" s="9"/>
    </row>
    <row r="26" spans="1:8" x14ac:dyDescent="0.15">
      <c r="A26" s="8" t="s">
        <v>30</v>
      </c>
      <c r="B26" s="32">
        <v>2.66</v>
      </c>
      <c r="C26" s="1"/>
      <c r="D26" s="1"/>
      <c r="E26" s="1" t="s">
        <v>81</v>
      </c>
      <c r="F26" s="35">
        <v>25.5</v>
      </c>
      <c r="G26" s="1"/>
      <c r="H26" s="9"/>
    </row>
    <row r="27" spans="1:8" x14ac:dyDescent="0.15">
      <c r="A27" s="8" t="s">
        <v>44</v>
      </c>
      <c r="B27" s="32">
        <v>2.66</v>
      </c>
      <c r="C27" s="1"/>
      <c r="D27" s="1"/>
      <c r="E27" s="1"/>
      <c r="F27" s="35"/>
      <c r="G27" s="1"/>
      <c r="H27" s="9"/>
    </row>
    <row r="28" spans="1:8" x14ac:dyDescent="0.15">
      <c r="A28" s="8" t="s">
        <v>31</v>
      </c>
      <c r="B28" s="35">
        <v>5.61</v>
      </c>
      <c r="C28" s="1"/>
      <c r="D28" s="1"/>
      <c r="E28" s="1"/>
      <c r="F28" s="35"/>
      <c r="G28" s="1"/>
      <c r="H28" s="9"/>
    </row>
    <row r="29" spans="1:8" x14ac:dyDescent="0.15">
      <c r="A29" s="8" t="s">
        <v>32</v>
      </c>
      <c r="B29" s="35">
        <v>5.61</v>
      </c>
      <c r="C29" s="1"/>
      <c r="D29" s="1"/>
      <c r="E29" s="1"/>
      <c r="F29" s="2"/>
      <c r="G29" s="1"/>
      <c r="H29" s="9"/>
    </row>
    <row r="30" spans="1:8" x14ac:dyDescent="0.15">
      <c r="A30" s="8" t="s">
        <v>33</v>
      </c>
      <c r="B30" s="35">
        <v>5.61</v>
      </c>
      <c r="C30" s="1"/>
      <c r="D30" s="1"/>
      <c r="E30" s="1" t="s">
        <v>43</v>
      </c>
      <c r="F30" s="35">
        <v>4.84</v>
      </c>
      <c r="G30" s="1"/>
      <c r="H30" s="9"/>
    </row>
    <row r="31" spans="1:8" x14ac:dyDescent="0.15">
      <c r="A31" s="8" t="s">
        <v>34</v>
      </c>
      <c r="B31" s="35">
        <v>5.61</v>
      </c>
      <c r="C31" s="1"/>
      <c r="D31" s="1"/>
      <c r="E31" s="1" t="s">
        <v>75</v>
      </c>
      <c r="F31" s="35">
        <v>4.84</v>
      </c>
      <c r="G31" s="1"/>
      <c r="H31" s="9"/>
    </row>
    <row r="32" spans="1:8" x14ac:dyDescent="0.15">
      <c r="A32" s="8" t="s">
        <v>35</v>
      </c>
      <c r="B32" s="35">
        <v>5.61</v>
      </c>
      <c r="C32" s="1"/>
      <c r="D32" s="1"/>
      <c r="E32" s="1" t="s">
        <v>83</v>
      </c>
      <c r="F32" s="35">
        <v>39.08</v>
      </c>
      <c r="G32" s="1"/>
      <c r="H32" s="9"/>
    </row>
    <row r="33" spans="1:9" x14ac:dyDescent="0.15">
      <c r="A33" s="8" t="s">
        <v>46</v>
      </c>
      <c r="B33" s="35">
        <v>4.78</v>
      </c>
      <c r="C33" s="1"/>
      <c r="D33" s="1"/>
      <c r="E33" s="45" t="s">
        <v>84</v>
      </c>
      <c r="F33" s="32">
        <v>9.77</v>
      </c>
      <c r="G33" s="1"/>
      <c r="H33" s="9"/>
      <c r="I33" s="34"/>
    </row>
    <row r="34" spans="1:9" x14ac:dyDescent="0.15">
      <c r="A34" s="8" t="s">
        <v>47</v>
      </c>
      <c r="B34" s="35">
        <v>4.78</v>
      </c>
      <c r="C34" s="1"/>
      <c r="D34" s="1"/>
      <c r="E34" s="1"/>
      <c r="F34" s="32"/>
      <c r="G34" s="1"/>
      <c r="H34" s="9"/>
      <c r="I34" s="34"/>
    </row>
    <row r="35" spans="1:9" x14ac:dyDescent="0.15">
      <c r="A35" s="8" t="s">
        <v>48</v>
      </c>
      <c r="B35" s="35">
        <v>4.78</v>
      </c>
      <c r="C35" s="1"/>
      <c r="D35" s="1"/>
      <c r="E35" s="1"/>
      <c r="F35" s="32"/>
      <c r="G35" s="1"/>
      <c r="H35" s="9"/>
      <c r="I35" s="34"/>
    </row>
    <row r="36" spans="1:9" x14ac:dyDescent="0.15">
      <c r="A36" s="8" t="s">
        <v>49</v>
      </c>
      <c r="B36" s="35">
        <v>4.78</v>
      </c>
      <c r="C36" s="1"/>
      <c r="D36" s="1"/>
      <c r="E36" s="1" t="s">
        <v>63</v>
      </c>
      <c r="F36" s="32">
        <v>3.08</v>
      </c>
      <c r="G36" s="1"/>
      <c r="H36" s="9"/>
      <c r="I36" s="34"/>
    </row>
    <row r="37" spans="1:9" x14ac:dyDescent="0.15">
      <c r="A37" s="8" t="s">
        <v>50</v>
      </c>
      <c r="B37" s="35">
        <v>4.78</v>
      </c>
      <c r="C37" s="1"/>
      <c r="D37" s="1"/>
      <c r="E37" s="1" t="s">
        <v>64</v>
      </c>
      <c r="F37" s="32">
        <v>3.08</v>
      </c>
      <c r="G37" s="1"/>
      <c r="H37" s="9"/>
      <c r="I37" s="34"/>
    </row>
    <row r="38" spans="1:9" x14ac:dyDescent="0.15">
      <c r="A38" s="8"/>
      <c r="B38" s="32"/>
      <c r="C38" s="1"/>
      <c r="D38" s="1"/>
      <c r="E38" s="1" t="s">
        <v>65</v>
      </c>
      <c r="F38" s="32">
        <v>3.08</v>
      </c>
      <c r="G38" s="1"/>
      <c r="H38" s="9"/>
      <c r="I38" s="34"/>
    </row>
    <row r="39" spans="1:9" x14ac:dyDescent="0.15">
      <c r="A39" s="8"/>
      <c r="B39" s="32"/>
      <c r="C39" s="1"/>
      <c r="D39" s="1"/>
      <c r="E39" s="1" t="s">
        <v>66</v>
      </c>
      <c r="F39" s="32">
        <v>3.08</v>
      </c>
      <c r="G39" s="1"/>
      <c r="H39" s="9"/>
      <c r="I39" s="34"/>
    </row>
    <row r="40" spans="1:9" x14ac:dyDescent="0.15">
      <c r="A40" s="8" t="s">
        <v>86</v>
      </c>
      <c r="B40" s="32">
        <v>6.33</v>
      </c>
      <c r="C40" s="1"/>
      <c r="D40" s="1"/>
      <c r="E40" s="1" t="s">
        <v>67</v>
      </c>
      <c r="F40" s="32">
        <v>3.08</v>
      </c>
      <c r="G40" s="1"/>
      <c r="H40" s="9"/>
      <c r="I40" s="34"/>
    </row>
    <row r="41" spans="1:9" x14ac:dyDescent="0.15">
      <c r="A41" s="8" t="s">
        <v>69</v>
      </c>
      <c r="B41" s="32">
        <v>7.92</v>
      </c>
      <c r="C41" s="1"/>
      <c r="D41" s="1"/>
      <c r="E41" s="1" t="s">
        <v>68</v>
      </c>
      <c r="F41" s="32">
        <v>3.08</v>
      </c>
      <c r="G41" s="1"/>
      <c r="H41" s="9"/>
    </row>
    <row r="42" spans="1:9" x14ac:dyDescent="0.15">
      <c r="A42" s="8"/>
      <c r="B42" s="32"/>
      <c r="C42" s="1"/>
      <c r="D42" s="1"/>
      <c r="E42" s="1"/>
      <c r="F42" s="32"/>
      <c r="G42" s="1"/>
      <c r="H42" s="9"/>
    </row>
    <row r="43" spans="1:9" x14ac:dyDescent="0.15">
      <c r="A43" s="8" t="s">
        <v>72</v>
      </c>
      <c r="B43" s="32">
        <v>1.37</v>
      </c>
      <c r="C43" s="1"/>
      <c r="D43" s="1"/>
      <c r="E43" s="1"/>
      <c r="F43" s="32"/>
      <c r="G43" s="1"/>
      <c r="H43" s="9"/>
    </row>
    <row r="44" spans="1:9" ht="13.5" thickBot="1" x14ac:dyDescent="0.2">
      <c r="A44" s="8" t="s">
        <v>73</v>
      </c>
      <c r="B44" s="35">
        <v>13.2</v>
      </c>
      <c r="C44" s="1"/>
      <c r="D44" s="1"/>
      <c r="E44" s="26"/>
      <c r="F44" s="33"/>
      <c r="G44" s="26"/>
      <c r="H44" s="36"/>
    </row>
    <row r="45" spans="1:9" x14ac:dyDescent="0.15">
      <c r="A45" s="8"/>
      <c r="B45" s="32"/>
      <c r="C45" s="1"/>
      <c r="D45" s="3"/>
      <c r="E45" s="37" t="s">
        <v>57</v>
      </c>
      <c r="F45" s="38"/>
      <c r="G45" s="27"/>
      <c r="H45" s="28"/>
    </row>
    <row r="46" spans="1:9" x14ac:dyDescent="0.15">
      <c r="A46" s="8"/>
      <c r="B46" s="32"/>
      <c r="C46" s="1"/>
      <c r="D46" s="3"/>
      <c r="E46" s="8" t="s">
        <v>58</v>
      </c>
      <c r="F46" s="32"/>
      <c r="G46" s="1"/>
      <c r="H46" s="9"/>
    </row>
    <row r="47" spans="1:9" x14ac:dyDescent="0.15">
      <c r="A47" s="8"/>
      <c r="B47" s="2"/>
      <c r="C47" s="1"/>
      <c r="D47" s="3"/>
      <c r="E47" s="8" t="s">
        <v>59</v>
      </c>
      <c r="F47" s="32">
        <v>2.66</v>
      </c>
      <c r="G47" s="1"/>
      <c r="H47" s="9"/>
    </row>
    <row r="48" spans="1:9" x14ac:dyDescent="0.15">
      <c r="A48" s="8" t="s">
        <v>70</v>
      </c>
      <c r="B48" s="32">
        <v>0</v>
      </c>
      <c r="C48" s="1"/>
      <c r="D48" s="3"/>
      <c r="E48" s="8" t="s">
        <v>60</v>
      </c>
      <c r="F48" s="32"/>
      <c r="G48" s="1"/>
      <c r="H48" s="9"/>
    </row>
    <row r="49" spans="1:8" x14ac:dyDescent="0.15">
      <c r="A49" s="8" t="s">
        <v>71</v>
      </c>
      <c r="B49" s="32">
        <v>7.98</v>
      </c>
      <c r="C49" s="1"/>
      <c r="D49" s="3"/>
      <c r="E49" s="8" t="s">
        <v>82</v>
      </c>
      <c r="F49" s="1">
        <v>55.26</v>
      </c>
      <c r="G49" s="1"/>
      <c r="H49" s="9"/>
    </row>
    <row r="50" spans="1:8" x14ac:dyDescent="0.15">
      <c r="A50" s="8"/>
      <c r="B50" s="2"/>
      <c r="C50" s="1"/>
      <c r="D50" s="3"/>
      <c r="E50" s="8"/>
      <c r="F50" s="32"/>
      <c r="G50" s="1"/>
      <c r="H50" s="9"/>
    </row>
    <row r="51" spans="1:8" x14ac:dyDescent="0.15">
      <c r="A51" s="46" t="s">
        <v>85</v>
      </c>
      <c r="B51" s="32">
        <v>3.49</v>
      </c>
      <c r="C51" s="1"/>
      <c r="D51" s="3"/>
      <c r="E51" s="8" t="s">
        <v>61</v>
      </c>
      <c r="F51" s="32">
        <v>1.63</v>
      </c>
      <c r="G51" s="1"/>
      <c r="H51" s="9"/>
    </row>
    <row r="52" spans="1:8" x14ac:dyDescent="0.15">
      <c r="A52" s="8"/>
      <c r="B52" s="32"/>
      <c r="C52" s="1"/>
      <c r="D52" s="3"/>
      <c r="E52" s="8" t="s">
        <v>4</v>
      </c>
      <c r="F52" s="35" t="s">
        <v>17</v>
      </c>
      <c r="G52" s="1"/>
      <c r="H52" s="9"/>
    </row>
    <row r="53" spans="1:8" ht="13.5" thickBot="1" x14ac:dyDescent="0.2">
      <c r="A53" s="10"/>
      <c r="B53" s="11"/>
      <c r="C53" s="12"/>
      <c r="D53" s="15"/>
      <c r="E53" s="10" t="s">
        <v>62</v>
      </c>
      <c r="F53" s="39"/>
      <c r="G53" s="12"/>
      <c r="H53" s="13"/>
    </row>
    <row r="54" spans="1:8" x14ac:dyDescent="0.15">
      <c r="B54" s="40"/>
      <c r="F54" s="34"/>
    </row>
    <row r="55" spans="1:8" x14ac:dyDescent="0.15">
      <c r="B55" s="40"/>
      <c r="F55" s="34"/>
    </row>
    <row r="56" spans="1:8" x14ac:dyDescent="0.15">
      <c r="F56" s="34"/>
    </row>
    <row r="57" spans="1:8" x14ac:dyDescent="0.15">
      <c r="F57" s="34"/>
    </row>
    <row r="58" spans="1:8" x14ac:dyDescent="0.15">
      <c r="F58" s="34"/>
    </row>
    <row r="59" spans="1:8" x14ac:dyDescent="0.15">
      <c r="F59" s="34"/>
    </row>
    <row r="60" spans="1:8" x14ac:dyDescent="0.15">
      <c r="F60" s="34"/>
    </row>
  </sheetData>
  <phoneticPr fontId="3" type="noConversion"/>
  <pageMargins left="0.19685039370078741" right="0.19685039370078741" top="0.59055118110236227" bottom="0.59055118110236227" header="0.31496062992125984" footer="0.31496062992125984"/>
  <pageSetup paperSize="9" scale="98" orientation="portrait" horizontalDpi="4294967293"/>
  <headerFooter alignWithMargins="0">
    <oddHeader>&amp;C&amp;"Arial,fed\&amp;18Modex</oddHeader>
    <oddFooter>&amp;L&amp;F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9D3E-A1A5-40E3-A4D9-3EDCE9F1C302}">
  <dimension ref="A1:H53"/>
  <sheetViews>
    <sheetView workbookViewId="0">
      <selection sqref="A1:H53"/>
    </sheetView>
  </sheetViews>
  <sheetFormatPr defaultColWidth="8.8984375" defaultRowHeight="12.75" x14ac:dyDescent="0.15"/>
  <cols>
    <col min="1" max="1" width="18.47265625" customWidth="1"/>
    <col min="2" max="2" width="6.47265625" customWidth="1"/>
    <col min="3" max="3" width="8.8984375" customWidth="1"/>
    <col min="4" max="4" width="11.8671875" customWidth="1"/>
    <col min="5" max="5" width="16.44921875" customWidth="1"/>
    <col min="6" max="6" width="8.08984375" customWidth="1"/>
    <col min="7" max="7" width="9.4375" customWidth="1"/>
    <col min="8" max="8" width="12.9453125" customWidth="1"/>
  </cols>
  <sheetData>
    <row r="1" spans="1:8" ht="21" thickBot="1" x14ac:dyDescent="0.3">
      <c r="A1" s="29"/>
      <c r="B1" s="30"/>
      <c r="C1" s="30"/>
      <c r="D1" s="44" t="s">
        <v>42</v>
      </c>
      <c r="E1" s="43"/>
      <c r="F1" s="30"/>
      <c r="G1" s="30"/>
      <c r="H1" s="31"/>
    </row>
    <row r="2" spans="1:8" x14ac:dyDescent="0.15">
      <c r="A2" s="21" t="s">
        <v>0</v>
      </c>
      <c r="B2" s="22"/>
      <c r="C2" s="23"/>
      <c r="D2" s="23"/>
      <c r="E2" s="24" t="s">
        <v>8</v>
      </c>
      <c r="F2" s="22"/>
      <c r="G2" s="23"/>
      <c r="H2" s="25"/>
    </row>
    <row r="3" spans="1:8" x14ac:dyDescent="0.15">
      <c r="A3" s="7" t="s">
        <v>1</v>
      </c>
      <c r="B3" s="19"/>
      <c r="C3" s="4"/>
      <c r="D3" s="4"/>
      <c r="E3" s="5" t="s">
        <v>9</v>
      </c>
      <c r="F3" s="3"/>
      <c r="G3" s="4"/>
      <c r="H3" s="6"/>
    </row>
    <row r="4" spans="1:8" x14ac:dyDescent="0.15">
      <c r="A4" s="7" t="s">
        <v>2</v>
      </c>
      <c r="B4" s="3"/>
      <c r="C4" s="4"/>
      <c r="D4" s="20"/>
      <c r="E4" s="5" t="s">
        <v>10</v>
      </c>
      <c r="F4" s="3"/>
      <c r="G4" s="4"/>
      <c r="H4" s="6"/>
    </row>
    <row r="5" spans="1:8" ht="13.5" thickBot="1" x14ac:dyDescent="0.2">
      <c r="A5" s="14" t="s">
        <v>3</v>
      </c>
      <c r="B5" s="15"/>
      <c r="C5" s="16"/>
      <c r="D5" s="16"/>
      <c r="E5" s="17" t="s">
        <v>11</v>
      </c>
      <c r="F5" s="15"/>
      <c r="G5" s="16"/>
      <c r="H5" s="18"/>
    </row>
    <row r="6" spans="1:8" x14ac:dyDescent="0.15">
      <c r="A6" s="37"/>
      <c r="B6" s="41" t="s">
        <v>5</v>
      </c>
      <c r="C6" s="41" t="s">
        <v>6</v>
      </c>
      <c r="D6" s="41" t="s">
        <v>7</v>
      </c>
      <c r="E6" s="27"/>
      <c r="F6" s="41" t="s">
        <v>5</v>
      </c>
      <c r="G6" s="41" t="s">
        <v>6</v>
      </c>
      <c r="H6" s="42" t="s">
        <v>7</v>
      </c>
    </row>
    <row r="7" spans="1:8" x14ac:dyDescent="0.15">
      <c r="A7" s="8" t="s">
        <v>12</v>
      </c>
      <c r="B7" s="35">
        <f>('2014'!B7*Faktor!$B$3)+'2014'!B7</f>
        <v>2.0888400000000003</v>
      </c>
      <c r="C7" s="1"/>
      <c r="D7" s="1"/>
      <c r="E7" s="1" t="s">
        <v>41</v>
      </c>
      <c r="F7" s="35">
        <f>('2014'!F7*Faktor!$B$3)+'2014'!F7</f>
        <v>4.0053000000000001</v>
      </c>
      <c r="G7" s="1"/>
      <c r="H7" s="9"/>
    </row>
    <row r="8" spans="1:8" x14ac:dyDescent="0.15">
      <c r="A8" s="8" t="s">
        <v>45</v>
      </c>
      <c r="B8" s="35">
        <f>('2014'!B8*Faktor!$B$3)+'2014'!B8</f>
        <v>2.6769600000000002</v>
      </c>
      <c r="C8" s="1"/>
      <c r="D8" s="1"/>
      <c r="E8" s="1" t="s">
        <v>40</v>
      </c>
      <c r="F8" s="35">
        <f>('2014'!F8*Faktor!$B$3)+'2014'!F8</f>
        <v>4.0053000000000001</v>
      </c>
      <c r="G8" s="1"/>
      <c r="H8" s="9"/>
    </row>
    <row r="9" spans="1:8" x14ac:dyDescent="0.15">
      <c r="A9" s="8" t="s">
        <v>13</v>
      </c>
      <c r="B9" s="35">
        <f>('2014'!B9*Faktor!$B$3)+'2014'!B9</f>
        <v>31.920719999999999</v>
      </c>
      <c r="C9" s="1"/>
      <c r="D9" s="1"/>
      <c r="E9" s="1" t="s">
        <v>39</v>
      </c>
      <c r="F9" s="35">
        <f>('2014'!F9*Faktor!$B$3)+'2014'!F9</f>
        <v>4.0053000000000001</v>
      </c>
      <c r="G9" s="1"/>
      <c r="H9" s="9"/>
    </row>
    <row r="10" spans="1:8" x14ac:dyDescent="0.15">
      <c r="A10" s="8" t="s">
        <v>14</v>
      </c>
      <c r="B10" s="35">
        <f>('2014'!B10*Faktor!$B$3)+'2014'!B10</f>
        <v>21.283859999999997</v>
      </c>
      <c r="C10" s="1"/>
      <c r="D10" s="1"/>
      <c r="E10" s="1" t="s">
        <v>38</v>
      </c>
      <c r="F10" s="35">
        <f>('2014'!F10*Faktor!$B$3)+'2014'!F10</f>
        <v>1.9975799999999999</v>
      </c>
      <c r="G10" s="1"/>
      <c r="H10" s="9"/>
    </row>
    <row r="11" spans="1:8" x14ac:dyDescent="0.15">
      <c r="A11" s="8" t="s">
        <v>15</v>
      </c>
      <c r="B11" s="35">
        <f>('2014'!B11*Faktor!$B$3)+'2014'!B11</f>
        <v>15.970499999999999</v>
      </c>
      <c r="C11" s="1"/>
      <c r="D11" s="1"/>
      <c r="E11" s="1" t="s">
        <v>37</v>
      </c>
      <c r="F11" s="35">
        <f>('2014'!F11*Faktor!$B$3)+'2014'!F11</f>
        <v>1.9975799999999999</v>
      </c>
      <c r="G11" s="1"/>
      <c r="H11" s="9"/>
    </row>
    <row r="12" spans="1:8" x14ac:dyDescent="0.15">
      <c r="A12" s="8" t="s">
        <v>16</v>
      </c>
      <c r="B12" s="35">
        <f>('2014'!B12*Faktor!$B$3)+'2014'!B12</f>
        <v>10.63686</v>
      </c>
      <c r="C12" s="1"/>
      <c r="D12" s="1"/>
      <c r="E12" s="1" t="s">
        <v>36</v>
      </c>
      <c r="F12" s="35">
        <f>('2014'!F12*Faktor!$B$3)+'2014'!F12</f>
        <v>1.9975799999999999</v>
      </c>
      <c r="G12" s="1"/>
      <c r="H12" s="9"/>
    </row>
    <row r="13" spans="1:8" x14ac:dyDescent="0.15">
      <c r="A13" s="8"/>
      <c r="B13" s="35"/>
      <c r="C13" s="1"/>
      <c r="D13" s="1"/>
      <c r="E13" s="45" t="s">
        <v>74</v>
      </c>
      <c r="F13" s="35">
        <f>('2014'!F13*Faktor!$B$3)+'2014'!F13</f>
        <v>8.02074</v>
      </c>
      <c r="G13" s="1"/>
      <c r="H13" s="9"/>
    </row>
    <row r="14" spans="1:8" x14ac:dyDescent="0.15">
      <c r="A14" s="8" t="s">
        <v>18</v>
      </c>
      <c r="B14" s="35">
        <f>('2014'!B14*Faktor!$B$3)+'2014'!B14</f>
        <v>4.74552</v>
      </c>
      <c r="C14" s="1"/>
      <c r="D14" s="1"/>
      <c r="E14" s="1" t="s">
        <v>51</v>
      </c>
      <c r="F14" s="35">
        <f>('2014'!F14*Faktor!$B$3)+'2014'!F14</f>
        <v>8.02074</v>
      </c>
      <c r="G14" s="1"/>
      <c r="H14" s="9"/>
    </row>
    <row r="15" spans="1:8" x14ac:dyDescent="0.15">
      <c r="A15" s="8" t="s">
        <v>19</v>
      </c>
      <c r="B15" s="35">
        <f>('2014'!B15*Faktor!$B$3)+'2014'!B15</f>
        <v>4.74552</v>
      </c>
      <c r="C15" s="1"/>
      <c r="D15" s="1"/>
      <c r="E15" s="1" t="s">
        <v>52</v>
      </c>
      <c r="F15" s="35">
        <f>('2014'!F15*Faktor!$B$3)+'2014'!F15</f>
        <v>8.02074</v>
      </c>
      <c r="G15" s="1"/>
      <c r="H15" s="9"/>
    </row>
    <row r="16" spans="1:8" x14ac:dyDescent="0.15">
      <c r="A16" s="8" t="s">
        <v>20</v>
      </c>
      <c r="B16" s="35">
        <f>('2014'!B16*Faktor!$B$3)+'2014'!B16</f>
        <v>4.74552</v>
      </c>
      <c r="C16" s="1"/>
      <c r="D16" s="1"/>
      <c r="E16" s="1" t="s">
        <v>53</v>
      </c>
      <c r="F16" s="35">
        <f>('2014'!F16*Faktor!$B$3)+'2014'!F16</f>
        <v>8.02074</v>
      </c>
      <c r="G16" s="1"/>
      <c r="H16" s="9"/>
    </row>
    <row r="17" spans="1:8" x14ac:dyDescent="0.15">
      <c r="A17" s="8" t="s">
        <v>21</v>
      </c>
      <c r="B17" s="35">
        <f>('2014'!B17*Faktor!$B$3)+'2014'!B17</f>
        <v>4.74552</v>
      </c>
      <c r="C17" s="1"/>
      <c r="D17" s="1"/>
      <c r="E17" s="1" t="s">
        <v>54</v>
      </c>
      <c r="F17" s="35">
        <f>('2014'!F17*Faktor!$B$3)+'2014'!F17</f>
        <v>4.0053000000000001</v>
      </c>
      <c r="G17" s="1"/>
      <c r="H17" s="9"/>
    </row>
    <row r="18" spans="1:8" x14ac:dyDescent="0.15">
      <c r="A18" s="8" t="s">
        <v>22</v>
      </c>
      <c r="B18" s="35">
        <f>('2014'!B18*Faktor!$B$3)+'2014'!B18</f>
        <v>4.74552</v>
      </c>
      <c r="C18" s="1"/>
      <c r="D18" s="1"/>
      <c r="E18" s="1" t="s">
        <v>55</v>
      </c>
      <c r="F18" s="35">
        <f>('2014'!F18*Faktor!$B$3)+'2014'!F18</f>
        <v>4.0053000000000001</v>
      </c>
      <c r="G18" s="1"/>
      <c r="H18" s="9"/>
    </row>
    <row r="19" spans="1:8" x14ac:dyDescent="0.15">
      <c r="A19" s="8" t="s">
        <v>23</v>
      </c>
      <c r="B19" s="35">
        <f>('2014'!B19*Faktor!$B$3)+'2014'!B19</f>
        <v>4.74552</v>
      </c>
      <c r="C19" s="1"/>
      <c r="D19" s="1"/>
      <c r="E19" s="1" t="s">
        <v>56</v>
      </c>
      <c r="F19" s="35">
        <f>('2014'!F19*Faktor!$B$3)+'2014'!F19</f>
        <v>4.0053000000000001</v>
      </c>
      <c r="G19" s="1"/>
      <c r="H19" s="9"/>
    </row>
    <row r="20" spans="1:8" x14ac:dyDescent="0.15">
      <c r="A20" s="8" t="s">
        <v>24</v>
      </c>
      <c r="B20" s="35">
        <f>('2014'!B20*Faktor!$B$3)+'2014'!B20</f>
        <v>4.74552</v>
      </c>
      <c r="C20" s="1"/>
      <c r="D20" s="1"/>
      <c r="E20" s="1"/>
      <c r="F20" s="35"/>
      <c r="G20" s="1"/>
      <c r="H20" s="9"/>
    </row>
    <row r="21" spans="1:8" x14ac:dyDescent="0.15">
      <c r="A21" s="8" t="s">
        <v>26</v>
      </c>
      <c r="B21" s="35">
        <f>('2014'!B21*Faktor!$B$3)+'2014'!B21</f>
        <v>6.8546399999999998</v>
      </c>
      <c r="C21" s="1"/>
      <c r="D21" s="1"/>
      <c r="E21" s="1" t="s">
        <v>76</v>
      </c>
      <c r="F21" s="35">
        <f>('2014'!F21*Faktor!$B$3)+'2014'!F21</f>
        <v>4.3094999999999999</v>
      </c>
      <c r="G21" s="1"/>
      <c r="H21" s="9"/>
    </row>
    <row r="22" spans="1:8" x14ac:dyDescent="0.15">
      <c r="A22" s="8" t="s">
        <v>27</v>
      </c>
      <c r="B22" s="35">
        <f>('2014'!B22*Faktor!$B$3)+'2014'!B22</f>
        <v>6.8546399999999998</v>
      </c>
      <c r="C22" s="1"/>
      <c r="D22" s="1"/>
      <c r="E22" s="1" t="s">
        <v>77</v>
      </c>
      <c r="F22" s="35">
        <f>('2014'!F22*Faktor!$B$3)+'2014'!F22</f>
        <v>8.6189999999999998</v>
      </c>
      <c r="G22" s="1"/>
      <c r="H22" s="9"/>
    </row>
    <row r="23" spans="1:8" x14ac:dyDescent="0.15">
      <c r="A23" s="8" t="s">
        <v>28</v>
      </c>
      <c r="B23" s="35">
        <f>('2014'!B23*Faktor!$B$3)+'2014'!B23</f>
        <v>6.8546399999999998</v>
      </c>
      <c r="C23" s="1"/>
      <c r="D23" s="1"/>
      <c r="E23" s="1" t="s">
        <v>78</v>
      </c>
      <c r="F23" s="35">
        <f>('2014'!F23*Faktor!$B$3)+'2014'!F23</f>
        <v>12.9285</v>
      </c>
      <c r="G23" s="1"/>
      <c r="H23" s="9"/>
    </row>
    <row r="24" spans="1:8" x14ac:dyDescent="0.15">
      <c r="A24" s="8" t="s">
        <v>29</v>
      </c>
      <c r="B24" s="35">
        <f>('2014'!B24*Faktor!$B$3)+'2014'!B24</f>
        <v>6.8546399999999998</v>
      </c>
      <c r="C24" s="1"/>
      <c r="D24" s="1"/>
      <c r="E24" s="1" t="s">
        <v>79</v>
      </c>
      <c r="F24" s="35">
        <f>('2014'!F24*Faktor!$B$3)+'2014'!F24</f>
        <v>17.238</v>
      </c>
      <c r="G24" s="1"/>
      <c r="H24" s="9"/>
    </row>
    <row r="25" spans="1:8" x14ac:dyDescent="0.15">
      <c r="A25" s="8" t="s">
        <v>25</v>
      </c>
      <c r="B25" s="35">
        <f>('2014'!B25*Faktor!$B$3)+'2014'!B25</f>
        <v>6.8546399999999998</v>
      </c>
      <c r="C25" s="1"/>
      <c r="D25" s="1"/>
      <c r="E25" s="1" t="s">
        <v>80</v>
      </c>
      <c r="F25" s="35">
        <f>('2014'!F25*Faktor!$B$3)+'2014'!F25</f>
        <v>21.547499999999999</v>
      </c>
      <c r="G25" s="1"/>
      <c r="H25" s="9"/>
    </row>
    <row r="26" spans="1:8" x14ac:dyDescent="0.15">
      <c r="A26" s="8" t="s">
        <v>30</v>
      </c>
      <c r="B26" s="35">
        <f>('2014'!B26*Faktor!$B$3)+'2014'!B26</f>
        <v>2.6972400000000003</v>
      </c>
      <c r="C26" s="1"/>
      <c r="D26" s="1"/>
      <c r="E26" s="1" t="s">
        <v>81</v>
      </c>
      <c r="F26" s="35">
        <f>('2014'!F26*Faktor!$B$3)+'2014'!F26</f>
        <v>25.856999999999999</v>
      </c>
      <c r="G26" s="1"/>
      <c r="H26" s="9"/>
    </row>
    <row r="27" spans="1:8" x14ac:dyDescent="0.15">
      <c r="A27" s="8" t="s">
        <v>44</v>
      </c>
      <c r="B27" s="35">
        <f>('2014'!B27*Faktor!$B$3)+'2014'!B27</f>
        <v>2.6972400000000003</v>
      </c>
      <c r="C27" s="1"/>
      <c r="D27" s="1"/>
      <c r="E27" s="1"/>
      <c r="F27" s="35"/>
      <c r="G27" s="1"/>
      <c r="H27" s="9"/>
    </row>
    <row r="28" spans="1:8" x14ac:dyDescent="0.15">
      <c r="A28" s="8" t="s">
        <v>31</v>
      </c>
      <c r="B28" s="35">
        <f>('2014'!B28*Faktor!$B$3)+'2014'!B28</f>
        <v>5.6885400000000006</v>
      </c>
      <c r="C28" s="1"/>
      <c r="D28" s="1"/>
      <c r="E28" s="1"/>
      <c r="F28" s="35"/>
      <c r="G28" s="1"/>
      <c r="H28" s="9"/>
    </row>
    <row r="29" spans="1:8" x14ac:dyDescent="0.15">
      <c r="A29" s="8" t="s">
        <v>32</v>
      </c>
      <c r="B29" s="35">
        <f>('2014'!B29*Faktor!$B$3)+'2014'!B29</f>
        <v>5.6885400000000006</v>
      </c>
      <c r="C29" s="1"/>
      <c r="D29" s="1"/>
      <c r="E29" s="1"/>
      <c r="F29" s="35"/>
      <c r="G29" s="1"/>
      <c r="H29" s="9"/>
    </row>
    <row r="30" spans="1:8" x14ac:dyDescent="0.15">
      <c r="A30" s="8" t="s">
        <v>33</v>
      </c>
      <c r="B30" s="35">
        <f>('2014'!B30*Faktor!$B$3)+'2014'!B30</f>
        <v>5.6885400000000006</v>
      </c>
      <c r="C30" s="1"/>
      <c r="D30" s="1"/>
      <c r="E30" s="1" t="s">
        <v>43</v>
      </c>
      <c r="F30" s="35">
        <f>('2014'!F30*Faktor!$B$3)+'2014'!F30</f>
        <v>4.9077599999999997</v>
      </c>
      <c r="G30" s="1"/>
      <c r="H30" s="9"/>
    </row>
    <row r="31" spans="1:8" x14ac:dyDescent="0.15">
      <c r="A31" s="8" t="s">
        <v>34</v>
      </c>
      <c r="B31" s="35">
        <f>('2014'!B31*Faktor!$B$3)+'2014'!B31</f>
        <v>5.6885400000000006</v>
      </c>
      <c r="C31" s="1"/>
      <c r="D31" s="1"/>
      <c r="E31" s="1" t="s">
        <v>75</v>
      </c>
      <c r="F31" s="35">
        <f>('2014'!F31*Faktor!$B$3)+'2014'!F31</f>
        <v>4.9077599999999997</v>
      </c>
      <c r="G31" s="1"/>
      <c r="H31" s="9"/>
    </row>
    <row r="32" spans="1:8" x14ac:dyDescent="0.15">
      <c r="A32" s="8" t="s">
        <v>35</v>
      </c>
      <c r="B32" s="35">
        <f>('2014'!B32*Faktor!$B$3)+'2014'!B32</f>
        <v>5.6885400000000006</v>
      </c>
      <c r="C32" s="1"/>
      <c r="D32" s="1"/>
      <c r="E32" s="1" t="s">
        <v>83</v>
      </c>
      <c r="F32" s="35">
        <f>('2014'!F32*Faktor!$B$3)+'2014'!F32</f>
        <v>39.627119999999998</v>
      </c>
      <c r="G32" s="1"/>
      <c r="H32" s="9"/>
    </row>
    <row r="33" spans="1:8" x14ac:dyDescent="0.15">
      <c r="A33" s="8" t="s">
        <v>46</v>
      </c>
      <c r="B33" s="35">
        <f>('2014'!B33*Faktor!$B$3)+'2014'!B33</f>
        <v>4.8469199999999999</v>
      </c>
      <c r="C33" s="1"/>
      <c r="D33" s="1"/>
      <c r="E33" s="45" t="s">
        <v>84</v>
      </c>
      <c r="F33" s="35">
        <f>('2014'!F33*Faktor!$B$3)+'2014'!F33</f>
        <v>9.9067799999999995</v>
      </c>
      <c r="G33" s="1"/>
      <c r="H33" s="9"/>
    </row>
    <row r="34" spans="1:8" x14ac:dyDescent="0.15">
      <c r="A34" s="8" t="s">
        <v>47</v>
      </c>
      <c r="B34" s="35">
        <f>('2014'!B34*Faktor!$B$3)+'2014'!B34</f>
        <v>4.8469199999999999</v>
      </c>
      <c r="C34" s="1"/>
      <c r="D34" s="1"/>
      <c r="E34" s="1"/>
      <c r="F34" s="35"/>
      <c r="G34" s="1"/>
      <c r="H34" s="9"/>
    </row>
    <row r="35" spans="1:8" x14ac:dyDescent="0.15">
      <c r="A35" s="8" t="s">
        <v>48</v>
      </c>
      <c r="B35" s="35">
        <f>('2014'!B35*Faktor!$B$3)+'2014'!B35</f>
        <v>4.8469199999999999</v>
      </c>
      <c r="C35" s="1"/>
      <c r="D35" s="1"/>
      <c r="E35" s="1"/>
      <c r="F35" s="35"/>
      <c r="G35" s="1"/>
      <c r="H35" s="9"/>
    </row>
    <row r="36" spans="1:8" x14ac:dyDescent="0.15">
      <c r="A36" s="8" t="s">
        <v>49</v>
      </c>
      <c r="B36" s="35">
        <f>('2014'!B36*Faktor!$B$3)+'2014'!B36</f>
        <v>4.8469199999999999</v>
      </c>
      <c r="C36" s="1"/>
      <c r="D36" s="1"/>
      <c r="E36" s="1" t="s">
        <v>63</v>
      </c>
      <c r="F36" s="35">
        <f>('2014'!F36*Faktor!$B$3)+'2014'!F36</f>
        <v>3.1231200000000001</v>
      </c>
      <c r="G36" s="1"/>
      <c r="H36" s="9"/>
    </row>
    <row r="37" spans="1:8" x14ac:dyDescent="0.15">
      <c r="A37" s="8" t="s">
        <v>50</v>
      </c>
      <c r="B37" s="35">
        <f>('2014'!B37*Faktor!$B$3)+'2014'!B37</f>
        <v>4.8469199999999999</v>
      </c>
      <c r="C37" s="1"/>
      <c r="D37" s="1"/>
      <c r="E37" s="1" t="s">
        <v>64</v>
      </c>
      <c r="F37" s="35">
        <f>('2014'!F37*Faktor!$B$3)+'2014'!F37</f>
        <v>3.1231200000000001</v>
      </c>
      <c r="G37" s="1"/>
      <c r="H37" s="9"/>
    </row>
    <row r="38" spans="1:8" x14ac:dyDescent="0.15">
      <c r="A38" s="8"/>
      <c r="B38" s="35"/>
      <c r="C38" s="1"/>
      <c r="D38" s="1"/>
      <c r="E38" s="1" t="s">
        <v>65</v>
      </c>
      <c r="F38" s="35">
        <f>('2014'!F38*Faktor!$B$3)+'2014'!F38</f>
        <v>3.1231200000000001</v>
      </c>
      <c r="G38" s="1"/>
      <c r="H38" s="9"/>
    </row>
    <row r="39" spans="1:8" x14ac:dyDescent="0.15">
      <c r="A39" s="8"/>
      <c r="B39" s="35"/>
      <c r="C39" s="1"/>
      <c r="D39" s="1"/>
      <c r="E39" s="1" t="s">
        <v>66</v>
      </c>
      <c r="F39" s="35">
        <f>('2014'!F39*Faktor!$B$3)+'2014'!F39</f>
        <v>3.1231200000000001</v>
      </c>
      <c r="G39" s="1"/>
      <c r="H39" s="9"/>
    </row>
    <row r="40" spans="1:8" x14ac:dyDescent="0.15">
      <c r="A40" s="8" t="s">
        <v>86</v>
      </c>
      <c r="B40" s="35">
        <f>('2014'!B40*Faktor!$B$3)+'2014'!B40</f>
        <v>6.4186199999999998</v>
      </c>
      <c r="C40" s="1"/>
      <c r="D40" s="1"/>
      <c r="E40" s="1" t="s">
        <v>67</v>
      </c>
      <c r="F40" s="35">
        <f>('2014'!F40*Faktor!$B$3)+'2014'!F40</f>
        <v>3.1231200000000001</v>
      </c>
      <c r="G40" s="1"/>
      <c r="H40" s="9"/>
    </row>
    <row r="41" spans="1:8" x14ac:dyDescent="0.15">
      <c r="A41" s="8" t="s">
        <v>69</v>
      </c>
      <c r="B41" s="35">
        <f>('2014'!B41*Faktor!$B$3)+'2014'!B41</f>
        <v>8.0308799999999998</v>
      </c>
      <c r="C41" s="1"/>
      <c r="D41" s="1"/>
      <c r="E41" s="1" t="s">
        <v>68</v>
      </c>
      <c r="F41" s="35">
        <f>('2014'!F41*Faktor!$B$3)+'2014'!F41</f>
        <v>3.1231200000000001</v>
      </c>
      <c r="G41" s="1"/>
      <c r="H41" s="9"/>
    </row>
    <row r="42" spans="1:8" x14ac:dyDescent="0.15">
      <c r="A42" s="8"/>
      <c r="B42" s="35"/>
      <c r="C42" s="1"/>
      <c r="D42" s="1"/>
      <c r="E42" s="1"/>
      <c r="F42" s="35"/>
      <c r="G42" s="1"/>
      <c r="H42" s="9"/>
    </row>
    <row r="43" spans="1:8" x14ac:dyDescent="0.15">
      <c r="A43" s="8" t="s">
        <v>72</v>
      </c>
      <c r="B43" s="35">
        <f>('2014'!B43*Faktor!$B$3)+'2014'!B43</f>
        <v>1.3891800000000001</v>
      </c>
      <c r="C43" s="1"/>
      <c r="D43" s="1"/>
      <c r="E43" s="1"/>
      <c r="F43" s="35"/>
      <c r="G43" s="1"/>
      <c r="H43" s="9"/>
    </row>
    <row r="44" spans="1:8" ht="13.5" thickBot="1" x14ac:dyDescent="0.2">
      <c r="A44" s="8" t="s">
        <v>73</v>
      </c>
      <c r="B44" s="35">
        <f>('2014'!B44*Faktor!$B$3)+'2014'!B44</f>
        <v>13.384799999999998</v>
      </c>
      <c r="C44" s="1"/>
      <c r="D44" s="1"/>
      <c r="E44" s="26"/>
      <c r="F44" s="48"/>
      <c r="G44" s="26"/>
      <c r="H44" s="36"/>
    </row>
    <row r="45" spans="1:8" x14ac:dyDescent="0.15">
      <c r="A45" s="8"/>
      <c r="B45" s="35"/>
      <c r="C45" s="1"/>
      <c r="D45" s="3"/>
      <c r="E45" s="37" t="s">
        <v>57</v>
      </c>
      <c r="F45" s="47"/>
      <c r="G45" s="27"/>
      <c r="H45" s="28"/>
    </row>
    <row r="46" spans="1:8" x14ac:dyDescent="0.15">
      <c r="A46" s="8"/>
      <c r="B46" s="35"/>
      <c r="C46" s="1"/>
      <c r="D46" s="3"/>
      <c r="E46" s="8" t="s">
        <v>58</v>
      </c>
      <c r="F46" s="35"/>
      <c r="G46" s="1"/>
      <c r="H46" s="9"/>
    </row>
    <row r="47" spans="1:8" x14ac:dyDescent="0.15">
      <c r="A47" s="8"/>
      <c r="B47" s="35"/>
      <c r="C47" s="1"/>
      <c r="D47" s="3"/>
      <c r="E47" s="8" t="s">
        <v>59</v>
      </c>
      <c r="F47" s="35">
        <f>('2014'!F47*Faktor!$B$3)+'2014'!F47</f>
        <v>2.6972400000000003</v>
      </c>
      <c r="G47" s="1"/>
      <c r="H47" s="9"/>
    </row>
    <row r="48" spans="1:8" x14ac:dyDescent="0.15">
      <c r="A48" s="8" t="s">
        <v>70</v>
      </c>
      <c r="B48" s="35">
        <f>('2014'!B48*Faktor!$B$3)+'2014'!B48</f>
        <v>0</v>
      </c>
      <c r="C48" s="1"/>
      <c r="D48" s="3"/>
      <c r="E48" s="8" t="s">
        <v>60</v>
      </c>
      <c r="F48" s="35"/>
      <c r="G48" s="1"/>
      <c r="H48" s="9"/>
    </row>
    <row r="49" spans="1:8" x14ac:dyDescent="0.15">
      <c r="A49" s="8" t="s">
        <v>71</v>
      </c>
      <c r="B49" s="35">
        <f>'2014'!B49</f>
        <v>7.98</v>
      </c>
      <c r="C49" s="1"/>
      <c r="D49" s="3"/>
      <c r="E49" s="8" t="s">
        <v>82</v>
      </c>
      <c r="F49" s="35">
        <f>('2014'!F49*Faktor!$B$3)+'2014'!F49</f>
        <v>56.033639999999998</v>
      </c>
      <c r="G49" s="1"/>
      <c r="H49" s="9"/>
    </row>
    <row r="50" spans="1:8" x14ac:dyDescent="0.15">
      <c r="A50" s="8"/>
      <c r="B50" s="35"/>
      <c r="C50" s="1"/>
      <c r="D50" s="3"/>
      <c r="E50" s="8"/>
      <c r="F50" s="35"/>
      <c r="G50" s="1"/>
      <c r="H50" s="9"/>
    </row>
    <row r="51" spans="1:8" x14ac:dyDescent="0.15">
      <c r="A51" s="46" t="s">
        <v>85</v>
      </c>
      <c r="B51" s="35">
        <f>('2014'!B51*Faktor!$B$3)+'2014'!B51</f>
        <v>3.5388600000000001</v>
      </c>
      <c r="C51" s="1"/>
      <c r="D51" s="3"/>
      <c r="E51" s="8" t="s">
        <v>61</v>
      </c>
      <c r="F51" s="35">
        <f>('2014'!F51*Faktor!$B$3)+'2014'!F51</f>
        <v>1.65282</v>
      </c>
      <c r="G51" s="1"/>
      <c r="H51" s="9"/>
    </row>
    <row r="52" spans="1:8" x14ac:dyDescent="0.15">
      <c r="A52" s="8"/>
      <c r="B52" s="32"/>
      <c r="C52" s="1"/>
      <c r="D52" s="3"/>
      <c r="E52" s="8" t="s">
        <v>4</v>
      </c>
      <c r="F52" s="35"/>
      <c r="G52" s="1"/>
      <c r="H52" s="9"/>
    </row>
    <row r="53" spans="1:8" ht="13.5" thickBot="1" x14ac:dyDescent="0.2">
      <c r="A53" s="10"/>
      <c r="B53" s="11"/>
      <c r="C53" s="12"/>
      <c r="D53" s="15"/>
      <c r="E53" s="10" t="s">
        <v>62</v>
      </c>
      <c r="F53" s="39"/>
      <c r="G53" s="12"/>
      <c r="H53" s="13"/>
    </row>
  </sheetData>
  <phoneticPr fontId="3" type="noConversion"/>
  <pageMargins left="0.39370078740157483" right="0.35433070866141736" top="0.98425196850393704" bottom="0.98425196850393704" header="0.51181102362204722" footer="0.51181102362204722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35AA-F693-4BE5-9DE4-F5EF8594CD6D}">
  <dimension ref="A1:H53"/>
  <sheetViews>
    <sheetView workbookViewId="0">
      <selection sqref="A1:H53"/>
    </sheetView>
  </sheetViews>
  <sheetFormatPr defaultColWidth="8.8984375" defaultRowHeight="12.75" x14ac:dyDescent="0.15"/>
  <cols>
    <col min="1" max="1" width="17.6640625" customWidth="1"/>
    <col min="2" max="2" width="6.47265625" customWidth="1"/>
    <col min="3" max="4" width="8.8984375" customWidth="1"/>
    <col min="5" max="5" width="16.44921875" customWidth="1"/>
    <col min="6" max="6" width="6.3359375" customWidth="1"/>
  </cols>
  <sheetData>
    <row r="1" spans="1:8" ht="13.5" customHeight="1" thickBot="1" x14ac:dyDescent="0.25">
      <c r="A1" s="139" t="s">
        <v>88</v>
      </c>
      <c r="B1" s="140"/>
      <c r="C1" s="140"/>
      <c r="D1" s="140"/>
      <c r="E1" s="140"/>
      <c r="F1" s="140"/>
      <c r="G1" s="140"/>
      <c r="H1" s="141"/>
    </row>
    <row r="2" spans="1:8" x14ac:dyDescent="0.15">
      <c r="A2" s="21" t="s">
        <v>0</v>
      </c>
      <c r="B2" s="22"/>
      <c r="C2" s="23"/>
      <c r="D2" s="23"/>
      <c r="E2" s="24" t="s">
        <v>8</v>
      </c>
      <c r="F2" s="22"/>
      <c r="G2" s="23"/>
      <c r="H2" s="25"/>
    </row>
    <row r="3" spans="1:8" x14ac:dyDescent="0.15">
      <c r="A3" s="7" t="s">
        <v>1</v>
      </c>
      <c r="B3" s="19"/>
      <c r="C3" s="4"/>
      <c r="D3" s="4"/>
      <c r="E3" s="5" t="s">
        <v>9</v>
      </c>
      <c r="F3" s="3"/>
      <c r="G3" s="4"/>
      <c r="H3" s="6"/>
    </row>
    <row r="4" spans="1:8" x14ac:dyDescent="0.15">
      <c r="A4" s="7" t="s">
        <v>2</v>
      </c>
      <c r="B4" s="3"/>
      <c r="C4" s="4"/>
      <c r="D4" s="20"/>
      <c r="E4" s="5" t="s">
        <v>10</v>
      </c>
      <c r="F4" s="3"/>
      <c r="G4" s="4"/>
      <c r="H4" s="6"/>
    </row>
    <row r="5" spans="1:8" ht="13.5" thickBot="1" x14ac:dyDescent="0.2">
      <c r="A5" s="14" t="s">
        <v>3</v>
      </c>
      <c r="B5" s="15"/>
      <c r="C5" s="16"/>
      <c r="D5" s="16"/>
      <c r="E5" s="17" t="s">
        <v>11</v>
      </c>
      <c r="F5" s="15"/>
      <c r="G5" s="16"/>
      <c r="H5" s="18"/>
    </row>
    <row r="6" spans="1:8" x14ac:dyDescent="0.15">
      <c r="A6" s="37"/>
      <c r="B6" s="41" t="s">
        <v>5</v>
      </c>
      <c r="C6" s="41" t="s">
        <v>6</v>
      </c>
      <c r="D6" s="41" t="s">
        <v>7</v>
      </c>
      <c r="E6" s="27"/>
      <c r="F6" s="41" t="s">
        <v>5</v>
      </c>
      <c r="G6" s="41" t="s">
        <v>6</v>
      </c>
      <c r="H6" s="42" t="s">
        <v>7</v>
      </c>
    </row>
    <row r="7" spans="1:8" x14ac:dyDescent="0.15">
      <c r="A7" s="8" t="s">
        <v>12</v>
      </c>
      <c r="B7" s="35">
        <f>('2015'!B7*Faktor!$B$4)+'2015'!B7</f>
        <v>2.1285279600000004</v>
      </c>
      <c r="C7" s="1"/>
      <c r="D7" s="1"/>
      <c r="E7" s="1" t="s">
        <v>41</v>
      </c>
      <c r="F7" s="35">
        <f>('2015'!F7*Faktor!$B$4)+'2015'!F7</f>
        <v>4.0814006999999997</v>
      </c>
      <c r="G7" s="1"/>
      <c r="H7" s="9"/>
    </row>
    <row r="8" spans="1:8" x14ac:dyDescent="0.15">
      <c r="A8" s="8" t="s">
        <v>45</v>
      </c>
      <c r="B8" s="35">
        <f>('2015'!B8*Faktor!$B$4)+'2015'!B8</f>
        <v>2.7278222400000001</v>
      </c>
      <c r="C8" s="1"/>
      <c r="D8" s="1"/>
      <c r="E8" s="1" t="s">
        <v>40</v>
      </c>
      <c r="F8" s="35">
        <f>('2015'!F8*Faktor!$B$4)+'2015'!F8</f>
        <v>4.0814006999999997</v>
      </c>
      <c r="G8" s="1"/>
      <c r="H8" s="9"/>
    </row>
    <row r="9" spans="1:8" x14ac:dyDescent="0.15">
      <c r="A9" s="8" t="s">
        <v>13</v>
      </c>
      <c r="B9" s="35">
        <f>('2015'!B9*Faktor!$B$4)+'2015'!B9</f>
        <v>32.527213680000003</v>
      </c>
      <c r="C9" s="1"/>
      <c r="D9" s="1"/>
      <c r="E9" s="1" t="s">
        <v>39</v>
      </c>
      <c r="F9" s="35">
        <f>('2015'!F9*Faktor!$B$4)+'2015'!F9</f>
        <v>4.0814006999999997</v>
      </c>
      <c r="G9" s="1"/>
      <c r="H9" s="9"/>
    </row>
    <row r="10" spans="1:8" x14ac:dyDescent="0.15">
      <c r="A10" s="8" t="s">
        <v>14</v>
      </c>
      <c r="B10" s="35">
        <f>('2015'!B10*Faktor!$B$4)+'2015'!B10</f>
        <v>21.688253339999996</v>
      </c>
      <c r="C10" s="1"/>
      <c r="D10" s="1"/>
      <c r="E10" s="1" t="s">
        <v>38</v>
      </c>
      <c r="F10" s="35">
        <f>('2015'!F10*Faktor!$B$4)+'2015'!F10</f>
        <v>2.0355340200000001</v>
      </c>
      <c r="G10" s="1"/>
      <c r="H10" s="9"/>
    </row>
    <row r="11" spans="1:8" x14ac:dyDescent="0.15">
      <c r="A11" s="8" t="s">
        <v>15</v>
      </c>
      <c r="B11" s="35">
        <f>('2015'!B11*Faktor!$B$4)+'2015'!B11</f>
        <v>16.273939500000001</v>
      </c>
      <c r="C11" s="1"/>
      <c r="D11" s="1"/>
      <c r="E11" s="1" t="s">
        <v>37</v>
      </c>
      <c r="F11" s="35">
        <f>('2015'!F11*Faktor!$B$4)+'2015'!F11</f>
        <v>2.0355340200000001</v>
      </c>
      <c r="G11" s="1"/>
      <c r="H11" s="9"/>
    </row>
    <row r="12" spans="1:8" x14ac:dyDescent="0.15">
      <c r="A12" s="8" t="s">
        <v>16</v>
      </c>
      <c r="B12" s="35">
        <f>('2015'!B12*Faktor!$B$4)+'2015'!B12</f>
        <v>10.83896034</v>
      </c>
      <c r="C12" s="1"/>
      <c r="D12" s="1"/>
      <c r="E12" s="1" t="s">
        <v>36</v>
      </c>
      <c r="F12" s="35">
        <f>('2015'!F12*Faktor!$B$4)+'2015'!F12</f>
        <v>2.0355340200000001</v>
      </c>
      <c r="G12" s="1"/>
      <c r="H12" s="9"/>
    </row>
    <row r="13" spans="1:8" x14ac:dyDescent="0.15">
      <c r="A13" s="8"/>
      <c r="B13" s="35"/>
      <c r="C13" s="1"/>
      <c r="D13" s="1"/>
      <c r="E13" s="45" t="s">
        <v>74</v>
      </c>
      <c r="F13" s="35">
        <v>8.0399999999999991</v>
      </c>
      <c r="G13" s="1"/>
      <c r="H13" s="9"/>
    </row>
    <row r="14" spans="1:8" x14ac:dyDescent="0.15">
      <c r="A14" s="8" t="s">
        <v>18</v>
      </c>
      <c r="B14" s="35">
        <f>('2015'!B14*Faktor!$B$4)+'2015'!B14</f>
        <v>4.8356848799999996</v>
      </c>
      <c r="C14" s="1"/>
      <c r="D14" s="1"/>
      <c r="E14" s="1" t="s">
        <v>51</v>
      </c>
      <c r="F14" s="35">
        <v>5.07</v>
      </c>
      <c r="G14" s="1"/>
      <c r="H14" s="9"/>
    </row>
    <row r="15" spans="1:8" x14ac:dyDescent="0.15">
      <c r="A15" s="8" t="s">
        <v>19</v>
      </c>
      <c r="B15" s="35">
        <f>('2015'!B15*Faktor!$B$4)+'2015'!B15</f>
        <v>4.8356848799999996</v>
      </c>
      <c r="C15" s="1"/>
      <c r="D15" s="1"/>
      <c r="E15" s="1" t="s">
        <v>52</v>
      </c>
      <c r="F15" s="35">
        <v>5.07</v>
      </c>
      <c r="G15" s="1"/>
      <c r="H15" s="9"/>
    </row>
    <row r="16" spans="1:8" x14ac:dyDescent="0.15">
      <c r="A16" s="8" t="s">
        <v>20</v>
      </c>
      <c r="B16" s="35">
        <f>('2015'!B16*Faktor!$B$4)+'2015'!B16</f>
        <v>4.8356848799999996</v>
      </c>
      <c r="C16" s="1"/>
      <c r="D16" s="1"/>
      <c r="E16" s="1" t="s">
        <v>53</v>
      </c>
      <c r="F16" s="35">
        <v>5.07</v>
      </c>
      <c r="G16" s="1"/>
      <c r="H16" s="9"/>
    </row>
    <row r="17" spans="1:8" x14ac:dyDescent="0.15">
      <c r="A17" s="8" t="s">
        <v>21</v>
      </c>
      <c r="B17" s="35">
        <f>('2015'!B17*Faktor!$B$4)+'2015'!B17</f>
        <v>4.8356848799999996</v>
      </c>
      <c r="C17" s="1"/>
      <c r="D17" s="1"/>
      <c r="E17" s="1" t="s">
        <v>54</v>
      </c>
      <c r="F17" s="35">
        <v>5.07</v>
      </c>
      <c r="G17" s="1"/>
      <c r="H17" s="9"/>
    </row>
    <row r="18" spans="1:8" x14ac:dyDescent="0.15">
      <c r="A18" s="8" t="s">
        <v>22</v>
      </c>
      <c r="B18" s="35">
        <f>('2015'!B18*Faktor!$B$4)+'2015'!B18</f>
        <v>4.8356848799999996</v>
      </c>
      <c r="C18" s="1"/>
      <c r="D18" s="1"/>
      <c r="E18" s="1" t="s">
        <v>55</v>
      </c>
      <c r="F18" s="35">
        <v>5.07</v>
      </c>
      <c r="G18" s="1"/>
      <c r="H18" s="9"/>
    </row>
    <row r="19" spans="1:8" x14ac:dyDescent="0.15">
      <c r="A19" s="8" t="s">
        <v>23</v>
      </c>
      <c r="B19" s="35">
        <f>('2015'!B19*Faktor!$B$4)+'2015'!B19</f>
        <v>4.8356848799999996</v>
      </c>
      <c r="C19" s="1"/>
      <c r="D19" s="1"/>
      <c r="E19" s="1" t="s">
        <v>56</v>
      </c>
      <c r="F19" s="35">
        <v>5.07</v>
      </c>
      <c r="G19" s="1"/>
      <c r="H19" s="9"/>
    </row>
    <row r="20" spans="1:8" x14ac:dyDescent="0.15">
      <c r="A20" s="8" t="s">
        <v>24</v>
      </c>
      <c r="B20" s="35">
        <f>('2015'!B20*Faktor!$B$4)+'2015'!B20</f>
        <v>4.8356848799999996</v>
      </c>
      <c r="C20" s="1"/>
      <c r="D20" s="1"/>
      <c r="E20" s="1"/>
      <c r="F20" s="35"/>
      <c r="G20" s="1"/>
      <c r="H20" s="9"/>
    </row>
    <row r="21" spans="1:8" x14ac:dyDescent="0.15">
      <c r="A21" s="8" t="s">
        <v>26</v>
      </c>
      <c r="B21" s="35">
        <f>('2015'!B21*Faktor!$B$4)+'2015'!B21</f>
        <v>6.9848781600000001</v>
      </c>
      <c r="C21" s="1"/>
      <c r="D21" s="1"/>
      <c r="E21" s="1" t="s">
        <v>76</v>
      </c>
      <c r="F21" s="35">
        <f>('2015'!F21*Faktor!$B$4)+'2015'!F21</f>
        <v>4.3913804999999995</v>
      </c>
      <c r="G21" s="1"/>
      <c r="H21" s="9"/>
    </row>
    <row r="22" spans="1:8" x14ac:dyDescent="0.15">
      <c r="A22" s="8" t="s">
        <v>27</v>
      </c>
      <c r="B22" s="35">
        <f>('2015'!B22*Faktor!$B$4)+'2015'!B22</f>
        <v>6.9848781600000001</v>
      </c>
      <c r="C22" s="1"/>
      <c r="D22" s="1"/>
      <c r="E22" s="1" t="s">
        <v>77</v>
      </c>
      <c r="F22" s="35">
        <f>('2015'!F22*Faktor!$B$4)+'2015'!F22</f>
        <v>8.7827609999999989</v>
      </c>
      <c r="G22" s="1"/>
      <c r="H22" s="9"/>
    </row>
    <row r="23" spans="1:8" x14ac:dyDescent="0.15">
      <c r="A23" s="8" t="s">
        <v>28</v>
      </c>
      <c r="B23" s="35">
        <f>('2015'!B23*Faktor!$B$4)+'2015'!B23</f>
        <v>6.9848781600000001</v>
      </c>
      <c r="C23" s="1"/>
      <c r="D23" s="1"/>
      <c r="E23" s="1" t="s">
        <v>78</v>
      </c>
      <c r="F23" s="35">
        <f>('2015'!F23*Faktor!$B$4)+'2015'!F23</f>
        <v>13.174141499999999</v>
      </c>
      <c r="G23" s="1"/>
      <c r="H23" s="9"/>
    </row>
    <row r="24" spans="1:8" x14ac:dyDescent="0.15">
      <c r="A24" s="8" t="s">
        <v>29</v>
      </c>
      <c r="B24" s="35">
        <f>('2015'!B24*Faktor!$B$4)+'2015'!B24</f>
        <v>6.9848781600000001</v>
      </c>
      <c r="C24" s="1"/>
      <c r="D24" s="1"/>
      <c r="E24" s="1" t="s">
        <v>79</v>
      </c>
      <c r="F24" s="35">
        <f>('2015'!F24*Faktor!$B$4)+'2015'!F24</f>
        <v>17.565521999999998</v>
      </c>
      <c r="G24" s="1"/>
      <c r="H24" s="9"/>
    </row>
    <row r="25" spans="1:8" x14ac:dyDescent="0.15">
      <c r="A25" s="8" t="s">
        <v>25</v>
      </c>
      <c r="B25" s="35">
        <f>('2015'!B25*Faktor!$B$4)+'2015'!B25</f>
        <v>6.9848781600000001</v>
      </c>
      <c r="C25" s="1"/>
      <c r="D25" s="1"/>
      <c r="E25" s="1" t="s">
        <v>80</v>
      </c>
      <c r="F25" s="35">
        <f>('2015'!F25*Faktor!$B$4)+'2015'!F25</f>
        <v>21.956902499999998</v>
      </c>
      <c r="G25" s="1"/>
      <c r="H25" s="9"/>
    </row>
    <row r="26" spans="1:8" x14ac:dyDescent="0.15">
      <c r="A26" s="8" t="s">
        <v>30</v>
      </c>
      <c r="B26" s="35">
        <f>('2015'!B26*Faktor!$B$4)+'2015'!B26</f>
        <v>2.7484875600000005</v>
      </c>
      <c r="C26" s="1"/>
      <c r="D26" s="1"/>
      <c r="E26" s="1" t="s">
        <v>81</v>
      </c>
      <c r="F26" s="35">
        <f>('2015'!F26*Faktor!$B$4)+'2015'!F26</f>
        <v>26.348282999999999</v>
      </c>
      <c r="G26" s="1"/>
      <c r="H26" s="9"/>
    </row>
    <row r="27" spans="1:8" x14ac:dyDescent="0.15">
      <c r="A27" s="8" t="s">
        <v>44</v>
      </c>
      <c r="B27" s="35">
        <f>('2015'!B27*Faktor!$B$4)+'2015'!B27</f>
        <v>2.7484875600000005</v>
      </c>
      <c r="C27" s="1"/>
      <c r="D27" s="1"/>
      <c r="E27" s="1"/>
      <c r="F27" s="35"/>
      <c r="G27" s="1"/>
      <c r="H27" s="9"/>
    </row>
    <row r="28" spans="1:8" x14ac:dyDescent="0.15">
      <c r="A28" s="8" t="s">
        <v>31</v>
      </c>
      <c r="B28" s="35">
        <f>('2015'!B28*Faktor!$B$4)+'2015'!B28</f>
        <v>5.7966222600000004</v>
      </c>
      <c r="C28" s="1"/>
      <c r="D28" s="1"/>
      <c r="E28" s="1"/>
      <c r="F28" s="35"/>
      <c r="G28" s="1"/>
      <c r="H28" s="9"/>
    </row>
    <row r="29" spans="1:8" x14ac:dyDescent="0.15">
      <c r="A29" s="8" t="s">
        <v>32</v>
      </c>
      <c r="B29" s="35">
        <f>('2015'!B29*Faktor!$B$4)+'2015'!B29</f>
        <v>5.7966222600000004</v>
      </c>
      <c r="C29" s="1"/>
      <c r="D29" s="1"/>
      <c r="E29" s="1"/>
      <c r="F29" s="35"/>
      <c r="G29" s="1"/>
      <c r="H29" s="9"/>
    </row>
    <row r="30" spans="1:8" x14ac:dyDescent="0.15">
      <c r="A30" s="8" t="s">
        <v>33</v>
      </c>
      <c r="B30" s="35">
        <f>('2015'!B30*Faktor!$B$4)+'2015'!B30</f>
        <v>5.7966222600000004</v>
      </c>
      <c r="C30" s="1"/>
      <c r="D30" s="1"/>
      <c r="E30" s="1" t="s">
        <v>43</v>
      </c>
      <c r="F30" s="35">
        <v>5.07</v>
      </c>
      <c r="G30" s="1"/>
      <c r="H30" s="9"/>
    </row>
    <row r="31" spans="1:8" x14ac:dyDescent="0.15">
      <c r="A31" s="8" t="s">
        <v>34</v>
      </c>
      <c r="B31" s="35">
        <f>('2015'!B31*Faktor!$B$4)+'2015'!B31</f>
        <v>5.7966222600000004</v>
      </c>
      <c r="C31" s="1"/>
      <c r="D31" s="1"/>
      <c r="E31" s="1" t="s">
        <v>75</v>
      </c>
      <c r="F31" s="35">
        <v>5.07</v>
      </c>
      <c r="G31" s="1"/>
      <c r="H31" s="9"/>
    </row>
    <row r="32" spans="1:8" x14ac:dyDescent="0.15">
      <c r="A32" s="8" t="s">
        <v>35</v>
      </c>
      <c r="B32" s="35">
        <f>('2015'!B32*Faktor!$B$4)+'2015'!B32</f>
        <v>5.7966222600000004</v>
      </c>
      <c r="C32" s="1"/>
      <c r="D32" s="1"/>
      <c r="E32" s="1" t="s">
        <v>83</v>
      </c>
      <c r="F32" s="35">
        <f>('2015'!F32*Faktor!$B$4)+'2015'!F32</f>
        <v>40.380035280000001</v>
      </c>
      <c r="G32" s="1"/>
      <c r="H32" s="9"/>
    </row>
    <row r="33" spans="1:8" x14ac:dyDescent="0.15">
      <c r="A33" s="8" t="s">
        <v>46</v>
      </c>
      <c r="B33" s="35">
        <f>('2015'!B33*Faktor!$B$4)+'2015'!B33</f>
        <v>4.9390114799999996</v>
      </c>
      <c r="C33" s="1"/>
      <c r="D33" s="1"/>
      <c r="E33" s="45" t="s">
        <v>84</v>
      </c>
      <c r="F33" s="35">
        <f>('2015'!F33*Faktor!$B$4)+'2015'!F33</f>
        <v>10.09500882</v>
      </c>
      <c r="G33" s="1"/>
      <c r="H33" s="9"/>
    </row>
    <row r="34" spans="1:8" x14ac:dyDescent="0.15">
      <c r="A34" s="8" t="s">
        <v>47</v>
      </c>
      <c r="B34" s="35">
        <f>('2015'!B34*Faktor!$B$4)+'2015'!B34</f>
        <v>4.9390114799999996</v>
      </c>
      <c r="C34" s="1"/>
      <c r="D34" s="1"/>
      <c r="E34" s="1"/>
      <c r="F34" s="35"/>
      <c r="G34" s="1"/>
      <c r="H34" s="9"/>
    </row>
    <row r="35" spans="1:8" x14ac:dyDescent="0.15">
      <c r="A35" s="8" t="s">
        <v>48</v>
      </c>
      <c r="B35" s="35">
        <f>('2015'!B35*Faktor!$B$4)+'2015'!B35</f>
        <v>4.9390114799999996</v>
      </c>
      <c r="C35" s="1"/>
      <c r="D35" s="1"/>
      <c r="E35" s="1"/>
      <c r="F35" s="35"/>
      <c r="G35" s="1"/>
      <c r="H35" s="9"/>
    </row>
    <row r="36" spans="1:8" x14ac:dyDescent="0.15">
      <c r="A36" s="8" t="s">
        <v>49</v>
      </c>
      <c r="B36" s="35">
        <f>('2015'!B36*Faktor!$B$4)+'2015'!B36</f>
        <v>4.9390114799999996</v>
      </c>
      <c r="C36" s="1"/>
      <c r="D36" s="1"/>
      <c r="E36" s="1" t="s">
        <v>63</v>
      </c>
      <c r="F36" s="35">
        <f>('2015'!F36*Faktor!$B$4)+'2015'!F36</f>
        <v>3.1824592800000002</v>
      </c>
      <c r="G36" s="1"/>
      <c r="H36" s="9"/>
    </row>
    <row r="37" spans="1:8" x14ac:dyDescent="0.15">
      <c r="A37" s="8" t="s">
        <v>50</v>
      </c>
      <c r="B37" s="35">
        <f>('2015'!B37*Faktor!$B$4)+'2015'!B37</f>
        <v>4.9390114799999996</v>
      </c>
      <c r="C37" s="1"/>
      <c r="D37" s="1"/>
      <c r="E37" s="1" t="s">
        <v>64</v>
      </c>
      <c r="F37" s="35">
        <f>('2015'!F37*Faktor!$B$4)+'2015'!F37</f>
        <v>3.1824592800000002</v>
      </c>
      <c r="G37" s="1"/>
      <c r="H37" s="9"/>
    </row>
    <row r="38" spans="1:8" x14ac:dyDescent="0.15">
      <c r="A38" s="8"/>
      <c r="B38" s="35"/>
      <c r="C38" s="1"/>
      <c r="D38" s="1"/>
      <c r="E38" s="1" t="s">
        <v>65</v>
      </c>
      <c r="F38" s="35">
        <f>('2015'!F38*Faktor!$B$4)+'2015'!F38</f>
        <v>3.1824592800000002</v>
      </c>
      <c r="G38" s="1"/>
      <c r="H38" s="9"/>
    </row>
    <row r="39" spans="1:8" x14ac:dyDescent="0.15">
      <c r="A39" s="8"/>
      <c r="B39" s="35"/>
      <c r="C39" s="1"/>
      <c r="D39" s="1"/>
      <c r="E39" s="1" t="s">
        <v>66</v>
      </c>
      <c r="F39" s="35">
        <f>('2015'!F39*Faktor!$B$4)+'2015'!F39</f>
        <v>3.1824592800000002</v>
      </c>
      <c r="G39" s="1"/>
      <c r="H39" s="9"/>
    </row>
    <row r="40" spans="1:8" x14ac:dyDescent="0.15">
      <c r="A40" s="8" t="s">
        <v>86</v>
      </c>
      <c r="B40" s="35">
        <f>('2015'!B40*Faktor!$B$4)+'2015'!B40</f>
        <v>6.5405737799999999</v>
      </c>
      <c r="C40" s="1"/>
      <c r="D40" s="1"/>
      <c r="E40" s="1" t="s">
        <v>67</v>
      </c>
      <c r="F40" s="35">
        <f>('2015'!F40*Faktor!$B$4)+'2015'!F40</f>
        <v>3.1824592800000002</v>
      </c>
      <c r="G40" s="1"/>
      <c r="H40" s="9"/>
    </row>
    <row r="41" spans="1:8" x14ac:dyDescent="0.15">
      <c r="A41" s="8" t="s">
        <v>69</v>
      </c>
      <c r="B41" s="35">
        <f>('2015'!B41*Faktor!$B$4)+'2015'!B41</f>
        <v>8.1834667200000002</v>
      </c>
      <c r="C41" s="1"/>
      <c r="D41" s="1"/>
      <c r="E41" s="1" t="s">
        <v>68</v>
      </c>
      <c r="F41" s="35">
        <f>('2015'!F41*Faktor!$B$4)+'2015'!F41</f>
        <v>3.1824592800000002</v>
      </c>
      <c r="G41" s="1"/>
      <c r="H41" s="9"/>
    </row>
    <row r="42" spans="1:8" x14ac:dyDescent="0.15">
      <c r="A42" s="8"/>
      <c r="B42" s="35"/>
      <c r="C42" s="1"/>
      <c r="D42" s="1"/>
      <c r="E42" s="1"/>
      <c r="F42" s="35"/>
      <c r="G42" s="1"/>
      <c r="H42" s="9"/>
    </row>
    <row r="43" spans="1:8" x14ac:dyDescent="0.15">
      <c r="A43" s="8" t="s">
        <v>72</v>
      </c>
      <c r="B43" s="35">
        <f>('2015'!B43*Faktor!$B$4)+'2015'!B43</f>
        <v>1.41557442</v>
      </c>
      <c r="C43" s="1"/>
      <c r="D43" s="1"/>
      <c r="E43" s="1"/>
      <c r="F43" s="35"/>
      <c r="G43" s="1"/>
      <c r="H43" s="9"/>
    </row>
    <row r="44" spans="1:8" ht="13.5" thickBot="1" x14ac:dyDescent="0.2">
      <c r="A44" s="8" t="s">
        <v>73</v>
      </c>
      <c r="B44" s="35">
        <f>('2015'!B44*Faktor!$B$4)+'2015'!B44</f>
        <v>13.639111199999999</v>
      </c>
      <c r="C44" s="1"/>
      <c r="D44" s="1"/>
      <c r="E44" s="26"/>
      <c r="F44" s="48"/>
      <c r="G44" s="26"/>
      <c r="H44" s="36"/>
    </row>
    <row r="45" spans="1:8" x14ac:dyDescent="0.15">
      <c r="A45" s="8"/>
      <c r="B45" s="35"/>
      <c r="C45" s="1"/>
      <c r="D45" s="3"/>
      <c r="E45" s="37" t="s">
        <v>57</v>
      </c>
      <c r="F45" s="47"/>
      <c r="G45" s="27"/>
      <c r="H45" s="28"/>
    </row>
    <row r="46" spans="1:8" x14ac:dyDescent="0.15">
      <c r="A46" s="8"/>
      <c r="B46" s="35"/>
      <c r="C46" s="1"/>
      <c r="D46" s="3"/>
      <c r="E46" s="8" t="s">
        <v>58</v>
      </c>
      <c r="F46" s="35"/>
      <c r="G46" s="1"/>
      <c r="H46" s="9"/>
    </row>
    <row r="47" spans="1:8" x14ac:dyDescent="0.15">
      <c r="A47" s="8"/>
      <c r="B47" s="35"/>
      <c r="C47" s="1"/>
      <c r="D47" s="3"/>
      <c r="E47" s="8" t="s">
        <v>59</v>
      </c>
      <c r="F47" s="35">
        <f>('2015'!F47*Faktor!$B$4)+'2015'!F47</f>
        <v>2.7484875600000005</v>
      </c>
      <c r="G47" s="1"/>
      <c r="H47" s="9"/>
    </row>
    <row r="48" spans="1:8" x14ac:dyDescent="0.15">
      <c r="A48" s="8" t="s">
        <v>70</v>
      </c>
      <c r="B48" s="35"/>
      <c r="C48" s="1"/>
      <c r="D48" s="3"/>
      <c r="E48" s="8" t="s">
        <v>60</v>
      </c>
      <c r="F48" s="35"/>
      <c r="G48" s="1"/>
      <c r="H48" s="9"/>
    </row>
    <row r="49" spans="1:8" x14ac:dyDescent="0.15">
      <c r="A49" s="8" t="s">
        <v>71</v>
      </c>
      <c r="B49" s="35">
        <f>('2015'!B49*Faktor!$B$4)+'2015'!B49</f>
        <v>8.1316199999999998</v>
      </c>
      <c r="C49" s="1"/>
      <c r="D49" s="3"/>
      <c r="E49" s="8" t="s">
        <v>82</v>
      </c>
      <c r="F49" s="35">
        <f>('2015'!F49*Faktor!$B$4)+'2015'!F49</f>
        <v>57.098279159999997</v>
      </c>
      <c r="G49" s="1"/>
      <c r="H49" s="9"/>
    </row>
    <row r="50" spans="1:8" x14ac:dyDescent="0.15">
      <c r="A50" s="8"/>
      <c r="B50" s="35"/>
      <c r="C50" s="1"/>
      <c r="D50" s="3"/>
      <c r="E50" s="8"/>
      <c r="F50" s="35"/>
      <c r="G50" s="1"/>
      <c r="H50" s="9"/>
    </row>
    <row r="51" spans="1:8" x14ac:dyDescent="0.15">
      <c r="A51" s="46" t="s">
        <v>85</v>
      </c>
      <c r="B51" s="35">
        <f>('2015'!B51*Faktor!$B$4)+'2015'!B51</f>
        <v>3.60609834</v>
      </c>
      <c r="C51" s="1"/>
      <c r="D51" s="3"/>
      <c r="E51" s="8" t="s">
        <v>61</v>
      </c>
      <c r="F51" s="35">
        <f>('2015'!F51*Faktor!$B$4)+'2015'!F51</f>
        <v>1.6842235800000001</v>
      </c>
      <c r="G51" s="1"/>
      <c r="H51" s="9"/>
    </row>
    <row r="52" spans="1:8" x14ac:dyDescent="0.15">
      <c r="A52" s="8"/>
      <c r="B52" s="32"/>
      <c r="C52" s="1"/>
      <c r="D52" s="3"/>
      <c r="E52" s="8" t="s">
        <v>4</v>
      </c>
      <c r="F52" s="35"/>
      <c r="G52" s="1"/>
      <c r="H52" s="9"/>
    </row>
    <row r="53" spans="1:8" ht="13.5" thickBot="1" x14ac:dyDescent="0.2">
      <c r="A53" s="10"/>
      <c r="B53" s="11"/>
      <c r="C53" s="12"/>
      <c r="D53" s="15"/>
      <c r="E53" s="10" t="s">
        <v>62</v>
      </c>
      <c r="F53" s="39"/>
      <c r="G53" s="12"/>
      <c r="H53" s="13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C5D3-7A25-475E-B79B-1E2D5CF41EC8}">
  <dimension ref="A1:H53"/>
  <sheetViews>
    <sheetView topLeftCell="A10" workbookViewId="0">
      <selection activeCell="C48" sqref="C48"/>
    </sheetView>
  </sheetViews>
  <sheetFormatPr defaultColWidth="8.8984375" defaultRowHeight="12.75" x14ac:dyDescent="0.15"/>
  <cols>
    <col min="1" max="1" width="17.93359375" customWidth="1"/>
    <col min="2" max="2" width="6.47265625" customWidth="1"/>
    <col min="3" max="4" width="8.8984375" customWidth="1"/>
    <col min="5" max="5" width="17.93359375" customWidth="1"/>
    <col min="6" max="6" width="5.66015625" customWidth="1"/>
  </cols>
  <sheetData>
    <row r="1" spans="1:8" ht="18.75" thickBot="1" x14ac:dyDescent="0.25">
      <c r="A1" s="139" t="s">
        <v>89</v>
      </c>
      <c r="B1" s="140"/>
      <c r="C1" s="140"/>
      <c r="D1" s="140"/>
      <c r="E1" s="140"/>
      <c r="F1" s="140"/>
      <c r="G1" s="140"/>
      <c r="H1" s="141"/>
    </row>
    <row r="2" spans="1:8" x14ac:dyDescent="0.15">
      <c r="A2" s="21" t="s">
        <v>0</v>
      </c>
      <c r="B2" s="22"/>
      <c r="C2" s="23"/>
      <c r="D2" s="23"/>
      <c r="E2" s="24" t="s">
        <v>8</v>
      </c>
      <c r="F2" s="22"/>
      <c r="G2" s="23"/>
      <c r="H2" s="25"/>
    </row>
    <row r="3" spans="1:8" x14ac:dyDescent="0.15">
      <c r="A3" s="7" t="s">
        <v>1</v>
      </c>
      <c r="B3" s="19"/>
      <c r="C3" s="4"/>
      <c r="D3" s="4"/>
      <c r="E3" s="5" t="s">
        <v>9</v>
      </c>
      <c r="F3" s="3"/>
      <c r="G3" s="4"/>
      <c r="H3" s="6"/>
    </row>
    <row r="4" spans="1:8" x14ac:dyDescent="0.15">
      <c r="A4" s="7" t="s">
        <v>2</v>
      </c>
      <c r="B4" s="3"/>
      <c r="C4" s="4"/>
      <c r="D4" s="20"/>
      <c r="E4" s="5" t="s">
        <v>10</v>
      </c>
      <c r="F4" s="3"/>
      <c r="G4" s="4"/>
      <c r="H4" s="6"/>
    </row>
    <row r="5" spans="1:8" ht="13.5" thickBot="1" x14ac:dyDescent="0.2">
      <c r="A5" s="14" t="s">
        <v>3</v>
      </c>
      <c r="B5" s="15"/>
      <c r="C5" s="16"/>
      <c r="D5" s="16"/>
      <c r="E5" s="17" t="s">
        <v>11</v>
      </c>
      <c r="F5" s="15"/>
      <c r="G5" s="16"/>
      <c r="H5" s="18"/>
    </row>
    <row r="6" spans="1:8" x14ac:dyDescent="0.15">
      <c r="A6" s="37"/>
      <c r="B6" s="41" t="s">
        <v>5</v>
      </c>
      <c r="C6" s="41" t="s">
        <v>6</v>
      </c>
      <c r="D6" s="41" t="s">
        <v>7</v>
      </c>
      <c r="E6" s="27"/>
      <c r="F6" s="41" t="s">
        <v>5</v>
      </c>
      <c r="G6" s="41" t="s">
        <v>6</v>
      </c>
      <c r="H6" s="42" t="s">
        <v>7</v>
      </c>
    </row>
    <row r="7" spans="1:8" x14ac:dyDescent="0.15">
      <c r="A7" s="8" t="s">
        <v>12</v>
      </c>
      <c r="B7" s="35">
        <v>2.17</v>
      </c>
      <c r="C7" s="1"/>
      <c r="D7" s="1"/>
      <c r="E7" s="1" t="s">
        <v>41</v>
      </c>
      <c r="F7" s="35">
        <v>4.16</v>
      </c>
      <c r="G7" s="1"/>
      <c r="H7" s="9"/>
    </row>
    <row r="8" spans="1:8" x14ac:dyDescent="0.15">
      <c r="A8" s="8" t="s">
        <v>45</v>
      </c>
      <c r="B8" s="35">
        <v>5.51</v>
      </c>
      <c r="C8" s="1"/>
      <c r="D8" s="1"/>
      <c r="E8" s="1" t="s">
        <v>40</v>
      </c>
      <c r="F8" s="35">
        <v>4.16</v>
      </c>
      <c r="G8" s="1"/>
      <c r="H8" s="9"/>
    </row>
    <row r="9" spans="1:8" x14ac:dyDescent="0.15">
      <c r="A9" s="8" t="s">
        <v>13</v>
      </c>
      <c r="B9" s="35">
        <v>33.11</v>
      </c>
      <c r="C9" s="1"/>
      <c r="D9" s="1"/>
      <c r="E9" s="1" t="s">
        <v>39</v>
      </c>
      <c r="F9" s="35">
        <v>4.16</v>
      </c>
      <c r="G9" s="1"/>
      <c r="H9" s="9"/>
    </row>
    <row r="10" spans="1:8" x14ac:dyDescent="0.15">
      <c r="A10" s="8" t="s">
        <v>14</v>
      </c>
      <c r="B10" s="35">
        <v>22.08</v>
      </c>
      <c r="C10" s="1"/>
      <c r="D10" s="1"/>
      <c r="E10" s="1" t="s">
        <v>38</v>
      </c>
      <c r="F10" s="35">
        <v>2.0699999999999998</v>
      </c>
      <c r="G10" s="1"/>
      <c r="H10" s="9"/>
    </row>
    <row r="11" spans="1:8" x14ac:dyDescent="0.15">
      <c r="A11" s="8" t="s">
        <v>15</v>
      </c>
      <c r="B11" s="35">
        <v>16.57</v>
      </c>
      <c r="C11" s="1"/>
      <c r="D11" s="1"/>
      <c r="E11" s="1" t="s">
        <v>37</v>
      </c>
      <c r="F11" s="35">
        <v>2.0699999999999998</v>
      </c>
      <c r="G11" s="1"/>
      <c r="H11" s="9"/>
    </row>
    <row r="12" spans="1:8" x14ac:dyDescent="0.15">
      <c r="A12" s="8" t="s">
        <v>16</v>
      </c>
      <c r="B12" s="35">
        <v>11.03</v>
      </c>
      <c r="C12" s="1"/>
      <c r="D12" s="1"/>
      <c r="E12" s="1" t="s">
        <v>36</v>
      </c>
      <c r="F12" s="35">
        <v>2.0699999999999998</v>
      </c>
      <c r="G12" s="1"/>
      <c r="H12" s="9"/>
    </row>
    <row r="13" spans="1:8" x14ac:dyDescent="0.15">
      <c r="A13" s="8"/>
      <c r="B13" s="35"/>
      <c r="C13" s="1"/>
      <c r="D13" s="1"/>
      <c r="E13" s="45" t="s">
        <v>74</v>
      </c>
      <c r="F13" s="35">
        <v>8.18</v>
      </c>
      <c r="G13" s="1"/>
      <c r="H13" s="9"/>
    </row>
    <row r="14" spans="1:8" x14ac:dyDescent="0.15">
      <c r="A14" s="8" t="s">
        <v>18</v>
      </c>
      <c r="B14" s="35">
        <v>4.92</v>
      </c>
      <c r="C14" s="1"/>
      <c r="D14" s="1"/>
      <c r="E14" s="1" t="s">
        <v>51</v>
      </c>
      <c r="F14" s="35">
        <v>4.82</v>
      </c>
      <c r="G14" s="1"/>
      <c r="H14" s="9"/>
    </row>
    <row r="15" spans="1:8" x14ac:dyDescent="0.15">
      <c r="A15" s="8" t="s">
        <v>19</v>
      </c>
      <c r="B15" s="35">
        <v>4.92</v>
      </c>
      <c r="C15" s="1"/>
      <c r="D15" s="1"/>
      <c r="E15" s="1" t="s">
        <v>52</v>
      </c>
      <c r="F15" s="35">
        <v>3.99</v>
      </c>
      <c r="G15" s="1"/>
      <c r="H15" s="9"/>
    </row>
    <row r="16" spans="1:8" x14ac:dyDescent="0.15">
      <c r="A16" s="8" t="s">
        <v>20</v>
      </c>
      <c r="B16" s="35">
        <v>4.92</v>
      </c>
      <c r="C16" s="1"/>
      <c r="D16" s="1"/>
      <c r="E16" s="1" t="s">
        <v>53</v>
      </c>
      <c r="F16" s="35">
        <v>3.2</v>
      </c>
      <c r="G16" s="1"/>
      <c r="H16" s="9"/>
    </row>
    <row r="17" spans="1:8" x14ac:dyDescent="0.15">
      <c r="A17" s="8" t="s">
        <v>21</v>
      </c>
      <c r="B17" s="35">
        <v>4.92</v>
      </c>
      <c r="C17" s="1"/>
      <c r="D17" s="1"/>
      <c r="E17" s="1" t="s">
        <v>54</v>
      </c>
      <c r="F17" s="35">
        <v>2.39</v>
      </c>
      <c r="G17" s="1"/>
      <c r="H17" s="9"/>
    </row>
    <row r="18" spans="1:8" x14ac:dyDescent="0.15">
      <c r="A18" s="8" t="s">
        <v>22</v>
      </c>
      <c r="B18" s="35">
        <v>4.92</v>
      </c>
      <c r="C18" s="1"/>
      <c r="D18" s="1"/>
      <c r="E18" s="1" t="s">
        <v>55</v>
      </c>
      <c r="F18" s="35">
        <v>2.0099999999999998</v>
      </c>
      <c r="G18" s="1"/>
      <c r="H18" s="9"/>
    </row>
    <row r="19" spans="1:8" x14ac:dyDescent="0.15">
      <c r="A19" s="8" t="s">
        <v>23</v>
      </c>
      <c r="B19" s="35">
        <v>4.92</v>
      </c>
      <c r="C19" s="1"/>
      <c r="D19" s="1"/>
      <c r="E19" s="1" t="s">
        <v>56</v>
      </c>
      <c r="F19" s="35">
        <v>1.1399999999999999</v>
      </c>
      <c r="G19" s="1"/>
      <c r="H19" s="9"/>
    </row>
    <row r="20" spans="1:8" x14ac:dyDescent="0.15">
      <c r="A20" s="8" t="s">
        <v>24</v>
      </c>
      <c r="B20" s="35">
        <v>4.92</v>
      </c>
      <c r="C20" s="1"/>
      <c r="D20" s="1"/>
      <c r="E20" s="1"/>
      <c r="F20" s="35"/>
      <c r="G20" s="1"/>
      <c r="H20" s="9"/>
    </row>
    <row r="21" spans="1:8" x14ac:dyDescent="0.15">
      <c r="A21" s="8" t="s">
        <v>26</v>
      </c>
      <c r="B21" s="35">
        <v>4.92</v>
      </c>
      <c r="C21" s="1"/>
      <c r="D21" s="1"/>
      <c r="E21" s="1" t="s">
        <v>76</v>
      </c>
      <c r="F21" s="35">
        <v>4.47</v>
      </c>
      <c r="G21" s="1"/>
      <c r="H21" s="9"/>
    </row>
    <row r="22" spans="1:8" x14ac:dyDescent="0.15">
      <c r="A22" s="8" t="s">
        <v>27</v>
      </c>
      <c r="B22" s="35">
        <v>4.92</v>
      </c>
      <c r="C22" s="1"/>
      <c r="D22" s="1"/>
      <c r="E22" s="1" t="s">
        <v>77</v>
      </c>
      <c r="F22" s="35">
        <v>8.94</v>
      </c>
      <c r="G22" s="1"/>
      <c r="H22" s="9"/>
    </row>
    <row r="23" spans="1:8" x14ac:dyDescent="0.15">
      <c r="A23" s="8" t="s">
        <v>28</v>
      </c>
      <c r="B23" s="35">
        <v>4.92</v>
      </c>
      <c r="C23" s="1"/>
      <c r="D23" s="1"/>
      <c r="E23" s="1" t="s">
        <v>78</v>
      </c>
      <c r="F23" s="35">
        <v>13.41</v>
      </c>
      <c r="G23" s="1"/>
      <c r="H23" s="9"/>
    </row>
    <row r="24" spans="1:8" x14ac:dyDescent="0.15">
      <c r="A24" s="8" t="s">
        <v>29</v>
      </c>
      <c r="B24" s="35">
        <v>4.92</v>
      </c>
      <c r="C24" s="1"/>
      <c r="D24" s="1"/>
      <c r="E24" s="1" t="s">
        <v>79</v>
      </c>
      <c r="F24" s="35">
        <v>17.88</v>
      </c>
      <c r="G24" s="1"/>
      <c r="H24" s="9"/>
    </row>
    <row r="25" spans="1:8" x14ac:dyDescent="0.15">
      <c r="A25" s="8" t="s">
        <v>25</v>
      </c>
      <c r="B25" s="35">
        <v>4.92</v>
      </c>
      <c r="C25" s="1"/>
      <c r="D25" s="1"/>
      <c r="E25" s="1" t="s">
        <v>80</v>
      </c>
      <c r="F25" s="35">
        <v>22.35</v>
      </c>
      <c r="G25" s="1"/>
      <c r="H25" s="9"/>
    </row>
    <row r="26" spans="1:8" x14ac:dyDescent="0.15">
      <c r="A26" s="8" t="s">
        <v>30</v>
      </c>
      <c r="B26" s="35">
        <f>('2016'!B26*Faktor!$B$5)+'2016'!B26</f>
        <v>2.7869663858400004</v>
      </c>
      <c r="C26" s="1"/>
      <c r="D26" s="1"/>
      <c r="E26" s="1" t="s">
        <v>81</v>
      </c>
      <c r="F26" s="35">
        <v>26.82</v>
      </c>
      <c r="G26" s="1"/>
      <c r="H26" s="9"/>
    </row>
    <row r="27" spans="1:8" x14ac:dyDescent="0.15">
      <c r="A27" s="8" t="s">
        <v>44</v>
      </c>
      <c r="B27" s="35">
        <f>('2016'!B27*Faktor!$B$5)+'2016'!B27</f>
        <v>2.7869663858400004</v>
      </c>
      <c r="C27" s="1"/>
      <c r="D27" s="1"/>
      <c r="E27" s="1"/>
      <c r="F27" s="35"/>
      <c r="G27" s="1"/>
      <c r="H27" s="9"/>
    </row>
    <row r="28" spans="1:8" x14ac:dyDescent="0.15">
      <c r="A28" s="8" t="s">
        <v>31</v>
      </c>
      <c r="B28" s="35">
        <v>5.9</v>
      </c>
      <c r="C28" s="1"/>
      <c r="D28" s="1"/>
      <c r="E28" s="1"/>
      <c r="F28" s="35"/>
      <c r="G28" s="1"/>
      <c r="H28" s="9"/>
    </row>
    <row r="29" spans="1:8" x14ac:dyDescent="0.15">
      <c r="A29" s="8" t="s">
        <v>32</v>
      </c>
      <c r="B29" s="35">
        <v>5.9</v>
      </c>
      <c r="C29" s="1"/>
      <c r="D29" s="1"/>
      <c r="E29" s="1"/>
      <c r="F29" s="35"/>
      <c r="G29" s="1"/>
      <c r="H29" s="9"/>
    </row>
    <row r="30" spans="1:8" x14ac:dyDescent="0.15">
      <c r="A30" s="8" t="s">
        <v>33</v>
      </c>
      <c r="B30" s="35">
        <v>5.9</v>
      </c>
      <c r="C30" s="1"/>
      <c r="D30" s="1"/>
      <c r="E30" s="1" t="s">
        <v>43</v>
      </c>
      <c r="F30" s="35">
        <v>4.82</v>
      </c>
      <c r="G30" s="1"/>
      <c r="H30" s="9"/>
    </row>
    <row r="31" spans="1:8" x14ac:dyDescent="0.15">
      <c r="A31" s="8" t="s">
        <v>34</v>
      </c>
      <c r="B31" s="35">
        <v>5.9</v>
      </c>
      <c r="C31" s="1"/>
      <c r="D31" s="1"/>
      <c r="E31" s="1" t="s">
        <v>75</v>
      </c>
      <c r="F31" s="35">
        <v>3.99</v>
      </c>
      <c r="G31" s="1"/>
      <c r="H31" s="9"/>
    </row>
    <row r="32" spans="1:8" x14ac:dyDescent="0.15">
      <c r="A32" s="8" t="s">
        <v>35</v>
      </c>
      <c r="B32" s="35">
        <v>5.9</v>
      </c>
      <c r="C32" s="1"/>
      <c r="D32" s="1"/>
      <c r="E32" s="1" t="s">
        <v>83</v>
      </c>
      <c r="F32" s="35">
        <v>41.65</v>
      </c>
      <c r="G32" s="1"/>
      <c r="H32" s="9"/>
    </row>
    <row r="33" spans="1:8" x14ac:dyDescent="0.15">
      <c r="A33" s="8" t="s">
        <v>46</v>
      </c>
      <c r="B33" s="35">
        <v>5.0999999999999996</v>
      </c>
      <c r="C33" s="1"/>
      <c r="D33" s="1"/>
      <c r="E33" s="45" t="s">
        <v>84</v>
      </c>
      <c r="F33" s="35">
        <v>10.42</v>
      </c>
      <c r="G33" s="1"/>
      <c r="H33" s="9"/>
    </row>
    <row r="34" spans="1:8" x14ac:dyDescent="0.15">
      <c r="A34" s="8" t="s">
        <v>47</v>
      </c>
      <c r="B34" s="35">
        <v>5.0999999999999996</v>
      </c>
      <c r="C34" s="1"/>
      <c r="D34" s="1"/>
      <c r="E34" s="1"/>
      <c r="F34" s="35"/>
      <c r="G34" s="1"/>
      <c r="H34" s="9"/>
    </row>
    <row r="35" spans="1:8" x14ac:dyDescent="0.15">
      <c r="A35" s="8" t="s">
        <v>48</v>
      </c>
      <c r="B35" s="35">
        <v>5.0999999999999996</v>
      </c>
      <c r="C35" s="1"/>
      <c r="D35" s="1"/>
      <c r="E35" s="1"/>
      <c r="F35" s="35"/>
      <c r="G35" s="1"/>
      <c r="H35" s="9"/>
    </row>
    <row r="36" spans="1:8" x14ac:dyDescent="0.15">
      <c r="A36" s="8" t="s">
        <v>49</v>
      </c>
      <c r="B36" s="35">
        <v>5.0999999999999996</v>
      </c>
      <c r="C36" s="1"/>
      <c r="D36" s="1"/>
      <c r="E36" s="1" t="s">
        <v>63</v>
      </c>
      <c r="F36" s="35">
        <v>3.24</v>
      </c>
      <c r="G36" s="1"/>
      <c r="H36" s="9"/>
    </row>
    <row r="37" spans="1:8" x14ac:dyDescent="0.15">
      <c r="A37" s="8" t="s">
        <v>50</v>
      </c>
      <c r="B37" s="35">
        <v>5.0999999999999996</v>
      </c>
      <c r="C37" s="1"/>
      <c r="D37" s="1"/>
      <c r="E37" s="1" t="s">
        <v>64</v>
      </c>
      <c r="F37" s="35">
        <v>3.24</v>
      </c>
      <c r="G37" s="1"/>
      <c r="H37" s="9"/>
    </row>
    <row r="38" spans="1:8" x14ac:dyDescent="0.15">
      <c r="A38" s="8"/>
      <c r="B38" s="35"/>
      <c r="C38" s="1"/>
      <c r="D38" s="1"/>
      <c r="E38" s="1" t="s">
        <v>65</v>
      </c>
      <c r="F38" s="35">
        <v>3.24</v>
      </c>
      <c r="G38" s="1"/>
      <c r="H38" s="9"/>
    </row>
    <row r="39" spans="1:8" x14ac:dyDescent="0.15">
      <c r="A39" s="8"/>
      <c r="B39" s="35"/>
      <c r="C39" s="1"/>
      <c r="D39" s="1"/>
      <c r="E39" s="1" t="s">
        <v>66</v>
      </c>
      <c r="F39" s="35">
        <v>3.24</v>
      </c>
      <c r="G39" s="1"/>
      <c r="H39" s="9"/>
    </row>
    <row r="40" spans="1:8" x14ac:dyDescent="0.15">
      <c r="A40" s="8" t="s">
        <v>86</v>
      </c>
      <c r="B40" s="35">
        <v>6.66</v>
      </c>
      <c r="C40" s="1"/>
      <c r="D40" s="1"/>
      <c r="E40" s="1" t="s">
        <v>67</v>
      </c>
      <c r="F40" s="35">
        <v>3.24</v>
      </c>
      <c r="G40" s="1"/>
      <c r="H40" s="9"/>
    </row>
    <row r="41" spans="1:8" x14ac:dyDescent="0.15">
      <c r="A41" s="8" t="s">
        <v>69</v>
      </c>
      <c r="B41" s="35">
        <v>8.33</v>
      </c>
      <c r="C41" s="1"/>
      <c r="D41" s="1"/>
      <c r="E41" s="1" t="s">
        <v>68</v>
      </c>
      <c r="F41" s="35">
        <v>3.24</v>
      </c>
      <c r="G41" s="1"/>
      <c r="H41" s="9"/>
    </row>
    <row r="42" spans="1:8" x14ac:dyDescent="0.15">
      <c r="A42" s="8"/>
      <c r="B42" s="35"/>
      <c r="C42" s="1"/>
      <c r="D42" s="1"/>
      <c r="E42" s="1"/>
      <c r="F42" s="35"/>
      <c r="G42" s="1"/>
      <c r="H42" s="9"/>
    </row>
    <row r="43" spans="1:8" x14ac:dyDescent="0.15">
      <c r="A43" s="8" t="s">
        <v>72</v>
      </c>
      <c r="B43" s="35">
        <f>('2016'!B43*Faktor!$B$5)+'2016'!B43</f>
        <v>1.43539246188</v>
      </c>
      <c r="C43" s="1"/>
      <c r="D43" s="1"/>
      <c r="E43" s="1"/>
      <c r="F43" s="35"/>
      <c r="G43" s="1"/>
      <c r="H43" s="9"/>
    </row>
    <row r="44" spans="1:8" ht="13.5" thickBot="1" x14ac:dyDescent="0.2">
      <c r="A44" s="8" t="s">
        <v>73</v>
      </c>
      <c r="B44" s="35">
        <v>13.88</v>
      </c>
      <c r="C44" s="1"/>
      <c r="D44" s="1"/>
      <c r="E44" s="26"/>
      <c r="F44" s="50"/>
      <c r="G44" s="26"/>
      <c r="H44" s="36"/>
    </row>
    <row r="45" spans="1:8" x14ac:dyDescent="0.15">
      <c r="A45" s="8"/>
      <c r="B45" s="35"/>
      <c r="C45" s="1"/>
      <c r="D45" s="3"/>
      <c r="E45" s="37" t="s">
        <v>57</v>
      </c>
      <c r="F45" s="51"/>
      <c r="G45" s="27"/>
      <c r="H45" s="28"/>
    </row>
    <row r="46" spans="1:8" x14ac:dyDescent="0.15">
      <c r="A46" s="8"/>
      <c r="B46" s="35"/>
      <c r="C46" s="1"/>
      <c r="D46" s="3"/>
      <c r="E46" s="8" t="s">
        <v>58</v>
      </c>
      <c r="F46" s="35"/>
      <c r="G46" s="1"/>
      <c r="H46" s="9"/>
    </row>
    <row r="47" spans="1:8" x14ac:dyDescent="0.15">
      <c r="A47" s="8"/>
      <c r="B47" s="35"/>
      <c r="C47" s="1"/>
      <c r="D47" s="3"/>
      <c r="E47" s="8" t="s">
        <v>59</v>
      </c>
      <c r="F47" s="35">
        <f>('2016'!F47*Faktor!$B$5)+'2016'!F47</f>
        <v>2.7869663858400004</v>
      </c>
      <c r="G47" s="1"/>
      <c r="H47" s="9"/>
    </row>
    <row r="48" spans="1:8" x14ac:dyDescent="0.15">
      <c r="A48" s="8" t="s">
        <v>92</v>
      </c>
      <c r="B48" s="35">
        <v>5</v>
      </c>
      <c r="C48" s="1"/>
      <c r="D48" s="3"/>
      <c r="E48" s="8" t="s">
        <v>60</v>
      </c>
      <c r="F48" s="35"/>
      <c r="G48" s="1"/>
      <c r="H48" s="9"/>
    </row>
    <row r="49" spans="1:8" x14ac:dyDescent="0.15">
      <c r="A49" s="8" t="s">
        <v>71</v>
      </c>
      <c r="B49" s="35">
        <f>('2016'!B49*Faktor!$B$5)+'2016'!B49</f>
        <v>8.2454626799999993</v>
      </c>
      <c r="C49" s="1"/>
      <c r="D49" s="3"/>
      <c r="E49" s="8" t="s">
        <v>82</v>
      </c>
      <c r="F49" s="35">
        <v>58.13</v>
      </c>
      <c r="G49" s="1"/>
      <c r="H49" s="9"/>
    </row>
    <row r="50" spans="1:8" x14ac:dyDescent="0.15">
      <c r="A50" s="8"/>
      <c r="B50" s="35"/>
      <c r="C50" s="1"/>
      <c r="D50" s="3"/>
      <c r="E50" s="8"/>
      <c r="F50" s="35"/>
      <c r="G50" s="1"/>
      <c r="H50" s="9"/>
    </row>
    <row r="51" spans="1:8" x14ac:dyDescent="0.15">
      <c r="A51" s="46" t="s">
        <v>85</v>
      </c>
      <c r="B51" s="35">
        <v>2.9</v>
      </c>
      <c r="C51" s="1"/>
      <c r="D51" s="3"/>
      <c r="E51" s="8" t="s">
        <v>61</v>
      </c>
      <c r="F51" s="35">
        <f>('2016'!F51*Faktor!$B$5)+'2016'!F51</f>
        <v>1.70780271012</v>
      </c>
      <c r="G51" s="1"/>
      <c r="H51" s="9"/>
    </row>
    <row r="52" spans="1:8" x14ac:dyDescent="0.15">
      <c r="A52" s="8"/>
      <c r="B52" s="32"/>
      <c r="C52" s="1"/>
      <c r="D52" s="3"/>
      <c r="E52" s="8" t="s">
        <v>4</v>
      </c>
      <c r="F52" s="35"/>
      <c r="G52" s="1"/>
      <c r="H52" s="9"/>
    </row>
    <row r="53" spans="1:8" ht="13.5" thickBot="1" x14ac:dyDescent="0.2">
      <c r="A53" s="10"/>
      <c r="B53" s="11"/>
      <c r="C53" s="12"/>
      <c r="D53" s="15"/>
      <c r="E53" s="10" t="s">
        <v>62</v>
      </c>
      <c r="F53" s="39"/>
      <c r="G53" s="12"/>
      <c r="H53" s="13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6D24-091B-4ADB-BD4B-D21B900CB64D}">
  <dimension ref="A1:H53"/>
  <sheetViews>
    <sheetView topLeftCell="A19" workbookViewId="0">
      <selection activeCell="I51" sqref="I51"/>
    </sheetView>
  </sheetViews>
  <sheetFormatPr defaultColWidth="8.8984375" defaultRowHeight="12.75" x14ac:dyDescent="0.15"/>
  <cols>
    <col min="1" max="1" width="16.44921875" customWidth="1"/>
    <col min="2" max="4" width="8.8984375" customWidth="1"/>
    <col min="5" max="5" width="16.71875" customWidth="1"/>
  </cols>
  <sheetData>
    <row r="1" spans="1:8" ht="18.75" thickBot="1" x14ac:dyDescent="0.25">
      <c r="A1" s="139" t="s">
        <v>90</v>
      </c>
      <c r="B1" s="140"/>
      <c r="C1" s="140"/>
      <c r="D1" s="140"/>
      <c r="E1" s="140"/>
      <c r="F1" s="140"/>
      <c r="G1" s="140"/>
      <c r="H1" s="141"/>
    </row>
    <row r="2" spans="1:8" x14ac:dyDescent="0.15">
      <c r="A2" s="21" t="s">
        <v>0</v>
      </c>
      <c r="B2" s="22"/>
      <c r="C2" s="23"/>
      <c r="D2" s="23"/>
      <c r="E2" s="24" t="s">
        <v>8</v>
      </c>
      <c r="F2" s="22"/>
      <c r="G2" s="23"/>
      <c r="H2" s="25"/>
    </row>
    <row r="3" spans="1:8" x14ac:dyDescent="0.15">
      <c r="A3" s="7" t="s">
        <v>1</v>
      </c>
      <c r="B3" s="19"/>
      <c r="C3" s="4"/>
      <c r="D3" s="4"/>
      <c r="E3" s="5" t="s">
        <v>9</v>
      </c>
      <c r="F3" s="3"/>
      <c r="G3" s="4"/>
      <c r="H3" s="6"/>
    </row>
    <row r="4" spans="1:8" x14ac:dyDescent="0.15">
      <c r="A4" s="7" t="s">
        <v>2</v>
      </c>
      <c r="B4" s="3"/>
      <c r="C4" s="4"/>
      <c r="D4" s="20"/>
      <c r="E4" s="5" t="s">
        <v>10</v>
      </c>
      <c r="F4" s="3"/>
      <c r="G4" s="4"/>
      <c r="H4" s="6"/>
    </row>
    <row r="5" spans="1:8" ht="13.5" thickBot="1" x14ac:dyDescent="0.2">
      <c r="A5" s="14" t="s">
        <v>3</v>
      </c>
      <c r="B5" s="15"/>
      <c r="C5" s="16"/>
      <c r="D5" s="16"/>
      <c r="E5" s="17" t="s">
        <v>11</v>
      </c>
      <c r="F5" s="15"/>
      <c r="G5" s="16"/>
      <c r="H5" s="18"/>
    </row>
    <row r="6" spans="1:8" x14ac:dyDescent="0.15">
      <c r="A6" s="37"/>
      <c r="B6" s="41" t="s">
        <v>5</v>
      </c>
      <c r="C6" s="41" t="s">
        <v>6</v>
      </c>
      <c r="D6" s="41" t="s">
        <v>7</v>
      </c>
      <c r="E6" s="27"/>
      <c r="F6" s="41" t="s">
        <v>5</v>
      </c>
      <c r="G6" s="41" t="s">
        <v>6</v>
      </c>
      <c r="H6" s="42" t="s">
        <v>7</v>
      </c>
    </row>
    <row r="7" spans="1:8" x14ac:dyDescent="0.15">
      <c r="A7" s="8" t="s">
        <v>12</v>
      </c>
      <c r="B7" s="35">
        <f>('2017'!B7*Faktor!$B$6)+'2017'!B7</f>
        <v>2.21123</v>
      </c>
      <c r="C7" s="1"/>
      <c r="D7" s="1"/>
      <c r="E7" s="1" t="s">
        <v>41</v>
      </c>
      <c r="F7" s="35">
        <f>('2017'!F7*Faktor!$B$6)+'2017'!F7</f>
        <v>4.2390400000000001</v>
      </c>
      <c r="G7" s="1"/>
      <c r="H7" s="9"/>
    </row>
    <row r="8" spans="1:8" x14ac:dyDescent="0.15">
      <c r="A8" s="8" t="s">
        <v>45</v>
      </c>
      <c r="B8" s="35">
        <f>('2017'!B8*Faktor!$B$6)+'2017'!B8</f>
        <v>5.6146899999999995</v>
      </c>
      <c r="C8" s="1"/>
      <c r="D8" s="1"/>
      <c r="E8" s="1" t="s">
        <v>40</v>
      </c>
      <c r="F8" s="35">
        <f>('2017'!F8*Faktor!$B$6)+'2017'!F8</f>
        <v>4.2390400000000001</v>
      </c>
      <c r="G8" s="1"/>
      <c r="H8" s="9"/>
    </row>
    <row r="9" spans="1:8" x14ac:dyDescent="0.15">
      <c r="A9" s="8" t="s">
        <v>13</v>
      </c>
      <c r="B9" s="35">
        <f>('2017'!B9*Faktor!$B$6)+'2017'!B9</f>
        <v>33.739089999999997</v>
      </c>
      <c r="C9" s="1"/>
      <c r="D9" s="1"/>
      <c r="E9" s="1" t="s">
        <v>39</v>
      </c>
      <c r="F9" s="35">
        <f>('2017'!F9*Faktor!$B$6)+'2017'!F9</f>
        <v>4.2390400000000001</v>
      </c>
      <c r="G9" s="1"/>
      <c r="H9" s="9"/>
    </row>
    <row r="10" spans="1:8" x14ac:dyDescent="0.15">
      <c r="A10" s="8" t="s">
        <v>14</v>
      </c>
      <c r="B10" s="35">
        <f>('2017'!B10*Faktor!$B$6)+'2017'!B10</f>
        <v>22.499519999999997</v>
      </c>
      <c r="C10" s="1"/>
      <c r="D10" s="1"/>
      <c r="E10" s="1" t="s">
        <v>38</v>
      </c>
      <c r="F10" s="35">
        <f>('2017'!F10*Faktor!$B$6)+'2017'!F10</f>
        <v>2.1093299999999999</v>
      </c>
      <c r="G10" s="1"/>
      <c r="H10" s="9"/>
    </row>
    <row r="11" spans="1:8" x14ac:dyDescent="0.15">
      <c r="A11" s="8" t="s">
        <v>15</v>
      </c>
      <c r="B11" s="35">
        <f>('2017'!B11*Faktor!$B$6)+'2017'!B11</f>
        <v>16.884830000000001</v>
      </c>
      <c r="C11" s="1"/>
      <c r="D11" s="1"/>
      <c r="E11" s="1" t="s">
        <v>37</v>
      </c>
      <c r="F11" s="35">
        <f>('2017'!F11*Faktor!$B$6)+'2017'!F11</f>
        <v>2.1093299999999999</v>
      </c>
      <c r="G11" s="1"/>
      <c r="H11" s="9"/>
    </row>
    <row r="12" spans="1:8" x14ac:dyDescent="0.15">
      <c r="A12" s="8" t="s">
        <v>16</v>
      </c>
      <c r="B12" s="35">
        <f>('2017'!B12*Faktor!$B$6)+'2017'!B12</f>
        <v>11.239569999999999</v>
      </c>
      <c r="C12" s="1"/>
      <c r="D12" s="1"/>
      <c r="E12" s="1" t="s">
        <v>36</v>
      </c>
      <c r="F12" s="35">
        <f>('2017'!F12*Faktor!$B$6)+'2017'!F12</f>
        <v>2.1093299999999999</v>
      </c>
      <c r="G12" s="1"/>
      <c r="H12" s="9"/>
    </row>
    <row r="13" spans="1:8" x14ac:dyDescent="0.15">
      <c r="A13" s="8"/>
      <c r="B13" s="35"/>
      <c r="C13" s="1"/>
      <c r="D13" s="1"/>
      <c r="E13" s="45" t="s">
        <v>74</v>
      </c>
      <c r="F13" s="35">
        <f>('2017'!F13*Faktor!$B$6)+'2017'!F13</f>
        <v>8.3354199999999992</v>
      </c>
      <c r="G13" s="1"/>
      <c r="H13" s="9"/>
    </row>
    <row r="14" spans="1:8" x14ac:dyDescent="0.15">
      <c r="A14" s="8" t="s">
        <v>18</v>
      </c>
      <c r="B14" s="35">
        <f>('2017'!B14*Faktor!$B$6)+'2017'!B14</f>
        <v>5.0134799999999995</v>
      </c>
      <c r="C14" s="1"/>
      <c r="D14" s="1"/>
      <c r="E14" s="1" t="s">
        <v>51</v>
      </c>
      <c r="F14" s="35">
        <f>('2017'!F14*Faktor!$B$6)+'2017'!F14</f>
        <v>4.9115800000000007</v>
      </c>
      <c r="G14" s="1"/>
      <c r="H14" s="9"/>
    </row>
    <row r="15" spans="1:8" x14ac:dyDescent="0.15">
      <c r="A15" s="8" t="s">
        <v>19</v>
      </c>
      <c r="B15" s="35">
        <f>('2017'!B15*Faktor!$B$6)+'2017'!B15</f>
        <v>5.0134799999999995</v>
      </c>
      <c r="C15" s="1"/>
      <c r="D15" s="1"/>
      <c r="E15" s="1" t="s">
        <v>52</v>
      </c>
      <c r="F15" s="35">
        <f>('2017'!F15*Faktor!$B$6)+'2017'!F15</f>
        <v>4.0658099999999999</v>
      </c>
      <c r="G15" s="1"/>
      <c r="H15" s="9"/>
    </row>
    <row r="16" spans="1:8" x14ac:dyDescent="0.15">
      <c r="A16" s="8" t="s">
        <v>20</v>
      </c>
      <c r="B16" s="35">
        <f>('2017'!B16*Faktor!$B$6)+'2017'!B16</f>
        <v>5.0134799999999995</v>
      </c>
      <c r="C16" s="1"/>
      <c r="D16" s="1"/>
      <c r="E16" s="1" t="s">
        <v>53</v>
      </c>
      <c r="F16" s="35">
        <f>('2017'!F16*Faktor!$B$6)+'2017'!F16</f>
        <v>3.2608000000000001</v>
      </c>
      <c r="G16" s="1"/>
      <c r="H16" s="9"/>
    </row>
    <row r="17" spans="1:8" x14ac:dyDescent="0.15">
      <c r="A17" s="8" t="s">
        <v>21</v>
      </c>
      <c r="B17" s="35">
        <f>('2017'!B17*Faktor!$B$6)+'2017'!B17</f>
        <v>5.0134799999999995</v>
      </c>
      <c r="C17" s="1"/>
      <c r="D17" s="1"/>
      <c r="E17" s="1" t="s">
        <v>54</v>
      </c>
      <c r="F17" s="35">
        <f>('2017'!F17*Faktor!$B$6)+'2017'!F17</f>
        <v>2.4354100000000001</v>
      </c>
      <c r="G17" s="1"/>
      <c r="H17" s="9"/>
    </row>
    <row r="18" spans="1:8" x14ac:dyDescent="0.15">
      <c r="A18" s="8" t="s">
        <v>22</v>
      </c>
      <c r="B18" s="35">
        <f>('2017'!B18*Faktor!$B$6)+'2017'!B18</f>
        <v>5.0134799999999995</v>
      </c>
      <c r="C18" s="1"/>
      <c r="D18" s="1"/>
      <c r="E18" s="1" t="s">
        <v>55</v>
      </c>
      <c r="F18" s="35">
        <f>('2017'!F18*Faktor!$B$6)+'2017'!F18</f>
        <v>2.04819</v>
      </c>
      <c r="G18" s="1"/>
      <c r="H18" s="9"/>
    </row>
    <row r="19" spans="1:8" x14ac:dyDescent="0.15">
      <c r="A19" s="8" t="s">
        <v>23</v>
      </c>
      <c r="B19" s="35">
        <f>('2017'!B19*Faktor!$B$6)+'2017'!B19</f>
        <v>5.0134799999999995</v>
      </c>
      <c r="C19" s="1"/>
      <c r="D19" s="1"/>
      <c r="E19" s="1" t="s">
        <v>56</v>
      </c>
      <c r="F19" s="35">
        <f>('2017'!F19*Faktor!$B$6)+'2017'!F19</f>
        <v>1.1616599999999999</v>
      </c>
      <c r="G19" s="1"/>
      <c r="H19" s="9"/>
    </row>
    <row r="20" spans="1:8" x14ac:dyDescent="0.15">
      <c r="A20" s="8" t="s">
        <v>24</v>
      </c>
      <c r="B20" s="35">
        <f>('2017'!B20*Faktor!$B$6)+'2017'!B20</f>
        <v>5.0134799999999995</v>
      </c>
      <c r="C20" s="1"/>
      <c r="D20" s="1"/>
      <c r="E20" s="1"/>
      <c r="F20" s="35"/>
      <c r="G20" s="1"/>
      <c r="H20" s="9"/>
    </row>
    <row r="21" spans="1:8" x14ac:dyDescent="0.15">
      <c r="A21" s="8" t="s">
        <v>26</v>
      </c>
      <c r="B21" s="35">
        <f>('2017'!B21*Faktor!$B$6)+'2017'!B21</f>
        <v>5.0134799999999995</v>
      </c>
      <c r="C21" s="1"/>
      <c r="D21" s="1"/>
      <c r="E21" s="1" t="s">
        <v>76</v>
      </c>
      <c r="F21" s="35">
        <f>('2017'!F21*Faktor!$B$6)+'2017'!F21</f>
        <v>4.5549299999999997</v>
      </c>
      <c r="G21" s="1"/>
      <c r="H21" s="9"/>
    </row>
    <row r="22" spans="1:8" x14ac:dyDescent="0.15">
      <c r="A22" s="8" t="s">
        <v>27</v>
      </c>
      <c r="B22" s="35">
        <f>('2017'!B22*Faktor!$B$6)+'2017'!B22</f>
        <v>5.0134799999999995</v>
      </c>
      <c r="C22" s="1"/>
      <c r="D22" s="1"/>
      <c r="E22" s="1" t="s">
        <v>77</v>
      </c>
      <c r="F22" s="35">
        <f>('2017'!F22*Faktor!$B$6)+'2017'!F22</f>
        <v>9.1098599999999994</v>
      </c>
      <c r="G22" s="1"/>
      <c r="H22" s="9"/>
    </row>
    <row r="23" spans="1:8" x14ac:dyDescent="0.15">
      <c r="A23" s="8" t="s">
        <v>28</v>
      </c>
      <c r="B23" s="35">
        <f>('2017'!B23*Faktor!$B$6)+'2017'!B23</f>
        <v>5.0134799999999995</v>
      </c>
      <c r="C23" s="1"/>
      <c r="D23" s="1"/>
      <c r="E23" s="1" t="s">
        <v>78</v>
      </c>
      <c r="F23" s="35">
        <f>('2017'!F23*Faktor!$B$6)+'2017'!F23</f>
        <v>13.66479</v>
      </c>
      <c r="G23" s="1"/>
      <c r="H23" s="9"/>
    </row>
    <row r="24" spans="1:8" x14ac:dyDescent="0.15">
      <c r="A24" s="8" t="s">
        <v>29</v>
      </c>
      <c r="B24" s="35">
        <f>('2017'!B24*Faktor!$B$6)+'2017'!B24</f>
        <v>5.0134799999999995</v>
      </c>
      <c r="C24" s="1"/>
      <c r="D24" s="1"/>
      <c r="E24" s="1" t="s">
        <v>79</v>
      </c>
      <c r="F24" s="35">
        <f>('2017'!F24*Faktor!$B$6)+'2017'!F24</f>
        <v>18.219719999999999</v>
      </c>
      <c r="G24" s="1"/>
      <c r="H24" s="9"/>
    </row>
    <row r="25" spans="1:8" x14ac:dyDescent="0.15">
      <c r="A25" s="8" t="s">
        <v>25</v>
      </c>
      <c r="B25" s="35">
        <f>('2017'!B25*Faktor!$B$6)+'2017'!B25</f>
        <v>5.0134799999999995</v>
      </c>
      <c r="C25" s="1"/>
      <c r="D25" s="1"/>
      <c r="E25" s="1" t="s">
        <v>80</v>
      </c>
      <c r="F25" s="35">
        <f>('2017'!F25*Faktor!$B$6)+'2017'!F25</f>
        <v>22.774650000000001</v>
      </c>
      <c r="G25" s="1"/>
      <c r="H25" s="9"/>
    </row>
    <row r="26" spans="1:8" x14ac:dyDescent="0.15">
      <c r="A26" s="8" t="s">
        <v>30</v>
      </c>
      <c r="B26" s="35">
        <f>('2017'!B26*Faktor!$B$6)+'2017'!B26</f>
        <v>2.8399187471709606</v>
      </c>
      <c r="C26" s="1"/>
      <c r="D26" s="1"/>
      <c r="E26" s="1" t="s">
        <v>81</v>
      </c>
      <c r="F26" s="35">
        <f>('2017'!F26*Faktor!$B$6)+'2017'!F26</f>
        <v>27.32958</v>
      </c>
      <c r="G26" s="1"/>
      <c r="H26" s="9"/>
    </row>
    <row r="27" spans="1:8" x14ac:dyDescent="0.15">
      <c r="A27" s="8" t="s">
        <v>44</v>
      </c>
      <c r="B27" s="35">
        <f>('2017'!B27*Faktor!$B$6)+'2017'!B27</f>
        <v>2.8399187471709606</v>
      </c>
      <c r="C27" s="1"/>
      <c r="D27" s="1"/>
      <c r="E27" s="1"/>
      <c r="F27" s="35"/>
      <c r="G27" s="1"/>
      <c r="H27" s="9"/>
    </row>
    <row r="28" spans="1:8" x14ac:dyDescent="0.15">
      <c r="A28" s="8" t="s">
        <v>31</v>
      </c>
      <c r="B28" s="35">
        <f>('2017'!B28*Faktor!$B$6)+'2017'!B28</f>
        <v>6.0121000000000002</v>
      </c>
      <c r="C28" s="1"/>
      <c r="D28" s="1"/>
      <c r="E28" s="1"/>
      <c r="F28" s="35"/>
      <c r="G28" s="1"/>
      <c r="H28" s="9"/>
    </row>
    <row r="29" spans="1:8" x14ac:dyDescent="0.15">
      <c r="A29" s="8" t="s">
        <v>32</v>
      </c>
      <c r="B29" s="35">
        <f>('2017'!B29*Faktor!$B$6)+'2017'!B29</f>
        <v>6.0121000000000002</v>
      </c>
      <c r="C29" s="1"/>
      <c r="D29" s="1"/>
      <c r="E29" s="1"/>
      <c r="F29" s="35"/>
      <c r="G29" s="1"/>
      <c r="H29" s="9"/>
    </row>
    <row r="30" spans="1:8" x14ac:dyDescent="0.15">
      <c r="A30" s="8" t="s">
        <v>33</v>
      </c>
      <c r="B30" s="35">
        <f>('2017'!B30*Faktor!$B$6)+'2017'!B30</f>
        <v>6.0121000000000002</v>
      </c>
      <c r="C30" s="1"/>
      <c r="D30" s="1"/>
      <c r="E30" s="1" t="s">
        <v>43</v>
      </c>
      <c r="F30" s="35">
        <f>('2017'!F30*Faktor!$B$6)+'2017'!F30</f>
        <v>4.9115800000000007</v>
      </c>
      <c r="G30" s="1"/>
      <c r="H30" s="9"/>
    </row>
    <row r="31" spans="1:8" x14ac:dyDescent="0.15">
      <c r="A31" s="8" t="s">
        <v>34</v>
      </c>
      <c r="B31" s="35">
        <f>('2017'!B31*Faktor!$B$6)+'2017'!B31</f>
        <v>6.0121000000000002</v>
      </c>
      <c r="C31" s="1"/>
      <c r="D31" s="1"/>
      <c r="E31" s="1" t="s">
        <v>75</v>
      </c>
      <c r="F31" s="35">
        <f>('2017'!F31*Faktor!$B$6)+'2017'!F31</f>
        <v>4.0658099999999999</v>
      </c>
      <c r="G31" s="1"/>
      <c r="H31" s="9"/>
    </row>
    <row r="32" spans="1:8" x14ac:dyDescent="0.15">
      <c r="A32" s="8" t="s">
        <v>35</v>
      </c>
      <c r="B32" s="35">
        <f>('2017'!B32*Faktor!$B$6)+'2017'!B32</f>
        <v>6.0121000000000002</v>
      </c>
      <c r="C32" s="1"/>
      <c r="D32" s="1"/>
      <c r="E32" s="1" t="s">
        <v>83</v>
      </c>
      <c r="F32" s="35">
        <f>('2017'!F32*Faktor!$B$6)+'2017'!F32</f>
        <v>42.44135</v>
      </c>
      <c r="G32" s="1"/>
      <c r="H32" s="9"/>
    </row>
    <row r="33" spans="1:8" x14ac:dyDescent="0.15">
      <c r="A33" s="8" t="s">
        <v>46</v>
      </c>
      <c r="B33" s="35">
        <f>('2017'!B33*Faktor!$B$6)+'2017'!B33</f>
        <v>5.1968999999999994</v>
      </c>
      <c r="C33" s="1"/>
      <c r="D33" s="1"/>
      <c r="E33" s="45" t="s">
        <v>84</v>
      </c>
      <c r="F33" s="35">
        <f>('2017'!F33*Faktor!$B$6)+'2017'!F33</f>
        <v>10.617979999999999</v>
      </c>
      <c r="G33" s="1"/>
      <c r="H33" s="9"/>
    </row>
    <row r="34" spans="1:8" x14ac:dyDescent="0.15">
      <c r="A34" s="8" t="s">
        <v>47</v>
      </c>
      <c r="B34" s="35">
        <f>('2017'!B34*Faktor!$B$6)+'2017'!B34</f>
        <v>5.1968999999999994</v>
      </c>
      <c r="C34" s="1"/>
      <c r="D34" s="1"/>
      <c r="E34" s="1"/>
      <c r="F34" s="35"/>
      <c r="G34" s="1"/>
      <c r="H34" s="9"/>
    </row>
    <row r="35" spans="1:8" x14ac:dyDescent="0.15">
      <c r="A35" s="8" t="s">
        <v>48</v>
      </c>
      <c r="B35" s="35">
        <f>('2017'!B35*Faktor!$B$6)+'2017'!B35</f>
        <v>5.1968999999999994</v>
      </c>
      <c r="C35" s="1"/>
      <c r="D35" s="1"/>
      <c r="E35" s="1"/>
      <c r="F35" s="35"/>
      <c r="G35" s="1"/>
      <c r="H35" s="9"/>
    </row>
    <row r="36" spans="1:8" x14ac:dyDescent="0.15">
      <c r="A36" s="8" t="s">
        <v>49</v>
      </c>
      <c r="B36" s="35">
        <f>('2017'!B36*Faktor!$B$6)+'2017'!B36</f>
        <v>5.1968999999999994</v>
      </c>
      <c r="C36" s="1"/>
      <c r="D36" s="1"/>
      <c r="E36" s="1" t="s">
        <v>63</v>
      </c>
      <c r="F36" s="35">
        <f>('2017'!F36*Faktor!$B$6)+'2017'!F36</f>
        <v>3.3015600000000003</v>
      </c>
      <c r="G36" s="1"/>
      <c r="H36" s="9"/>
    </row>
    <row r="37" spans="1:8" x14ac:dyDescent="0.15">
      <c r="A37" s="8" t="s">
        <v>50</v>
      </c>
      <c r="B37" s="35">
        <f>('2017'!B37*Faktor!$B$6)+'2017'!B37</f>
        <v>5.1968999999999994</v>
      </c>
      <c r="C37" s="1"/>
      <c r="D37" s="1"/>
      <c r="E37" s="1" t="s">
        <v>64</v>
      </c>
      <c r="F37" s="35">
        <f>('2017'!F37*Faktor!$B$6)+'2017'!F37</f>
        <v>3.3015600000000003</v>
      </c>
      <c r="G37" s="1"/>
      <c r="H37" s="9"/>
    </row>
    <row r="38" spans="1:8" x14ac:dyDescent="0.15">
      <c r="A38" s="8"/>
      <c r="B38" s="35"/>
      <c r="C38" s="1"/>
      <c r="D38" s="1"/>
      <c r="E38" s="1" t="s">
        <v>65</v>
      </c>
      <c r="F38" s="35">
        <f>('2017'!F38*Faktor!$B$6)+'2017'!F38</f>
        <v>3.3015600000000003</v>
      </c>
      <c r="G38" s="1"/>
      <c r="H38" s="9"/>
    </row>
    <row r="39" spans="1:8" x14ac:dyDescent="0.15">
      <c r="A39" s="8"/>
      <c r="B39" s="35"/>
      <c r="C39" s="1"/>
      <c r="D39" s="1"/>
      <c r="E39" s="1" t="s">
        <v>66</v>
      </c>
      <c r="F39" s="35">
        <f>('2017'!F39*Faktor!$B$6)+'2017'!F39</f>
        <v>3.3015600000000003</v>
      </c>
      <c r="G39" s="1"/>
      <c r="H39" s="9"/>
    </row>
    <row r="40" spans="1:8" x14ac:dyDescent="0.15">
      <c r="A40" s="8" t="s">
        <v>86</v>
      </c>
      <c r="B40" s="35">
        <f>('2017'!B40*Faktor!$B$6)+'2017'!B40</f>
        <v>6.7865400000000005</v>
      </c>
      <c r="C40" s="1"/>
      <c r="D40" s="1"/>
      <c r="E40" s="1" t="s">
        <v>67</v>
      </c>
      <c r="F40" s="35">
        <f>('2017'!F40*Faktor!$B$6)+'2017'!F40</f>
        <v>3.3015600000000003</v>
      </c>
      <c r="G40" s="1"/>
      <c r="H40" s="9"/>
    </row>
    <row r="41" spans="1:8" x14ac:dyDescent="0.15">
      <c r="A41" s="8" t="s">
        <v>69</v>
      </c>
      <c r="B41" s="35">
        <f>('2017'!B41*Faktor!$B$6)+'2017'!B41</f>
        <v>8.48827</v>
      </c>
      <c r="C41" s="1"/>
      <c r="D41" s="1"/>
      <c r="E41" s="1" t="s">
        <v>68</v>
      </c>
      <c r="F41" s="35">
        <f>('2017'!F41*Faktor!$B$6)+'2017'!F41</f>
        <v>3.3015600000000003</v>
      </c>
      <c r="G41" s="1"/>
      <c r="H41" s="9"/>
    </row>
    <row r="42" spans="1:8" x14ac:dyDescent="0.15">
      <c r="A42" s="8"/>
      <c r="B42" s="35"/>
      <c r="C42" s="1"/>
      <c r="D42" s="1"/>
      <c r="E42" s="1"/>
      <c r="F42" s="35"/>
      <c r="G42" s="1"/>
      <c r="H42" s="9"/>
    </row>
    <row r="43" spans="1:8" x14ac:dyDescent="0.15">
      <c r="A43" s="8" t="s">
        <v>72</v>
      </c>
      <c r="B43" s="35">
        <v>1.47</v>
      </c>
      <c r="C43" s="1"/>
      <c r="D43" s="1"/>
      <c r="E43" s="1"/>
      <c r="F43" s="35"/>
      <c r="G43" s="1"/>
      <c r="H43" s="9"/>
    </row>
    <row r="44" spans="1:8" ht="13.5" thickBot="1" x14ac:dyDescent="0.2">
      <c r="A44" s="8" t="s">
        <v>73</v>
      </c>
      <c r="B44" s="35">
        <f>('2017'!B44*Faktor!$B$6)+'2017'!B44</f>
        <v>14.14372</v>
      </c>
      <c r="C44" s="1"/>
      <c r="D44" s="1"/>
      <c r="E44" s="26"/>
      <c r="F44" s="50"/>
      <c r="G44" s="26"/>
      <c r="H44" s="36"/>
    </row>
    <row r="45" spans="1:8" x14ac:dyDescent="0.15">
      <c r="A45" s="8"/>
      <c r="B45" s="35"/>
      <c r="C45" s="1"/>
      <c r="D45" s="3"/>
      <c r="E45" s="37" t="s">
        <v>57</v>
      </c>
      <c r="F45" s="51"/>
      <c r="G45" s="27"/>
      <c r="H45" s="28"/>
    </row>
    <row r="46" spans="1:8" x14ac:dyDescent="0.15">
      <c r="A46" s="8"/>
      <c r="B46" s="35"/>
      <c r="C46" s="1"/>
      <c r="D46" s="3"/>
      <c r="E46" s="8" t="s">
        <v>58</v>
      </c>
      <c r="F46" s="35"/>
      <c r="G46" s="1"/>
      <c r="H46" s="9"/>
    </row>
    <row r="47" spans="1:8" x14ac:dyDescent="0.15">
      <c r="A47" s="8"/>
      <c r="B47" s="35"/>
      <c r="C47" s="1"/>
      <c r="D47" s="3"/>
      <c r="E47" s="8" t="s">
        <v>59</v>
      </c>
      <c r="F47" s="35">
        <f>('2017'!F47*Faktor!$B$6)+'2017'!F47</f>
        <v>2.8399187471709606</v>
      </c>
      <c r="G47" s="1"/>
      <c r="H47" s="9"/>
    </row>
    <row r="48" spans="1:8" x14ac:dyDescent="0.15">
      <c r="A48" s="8" t="s">
        <v>92</v>
      </c>
      <c r="B48" s="35">
        <v>5</v>
      </c>
      <c r="C48" s="1"/>
      <c r="D48" s="3"/>
      <c r="E48" s="8" t="s">
        <v>60</v>
      </c>
      <c r="F48" s="35"/>
      <c r="G48" s="1"/>
      <c r="H48" s="9"/>
    </row>
    <row r="49" spans="1:8" x14ac:dyDescent="0.15">
      <c r="A49" s="8" t="s">
        <v>71</v>
      </c>
      <c r="B49" s="35">
        <v>8.41</v>
      </c>
      <c r="C49" s="1"/>
      <c r="D49" s="3"/>
      <c r="E49" s="8" t="s">
        <v>82</v>
      </c>
      <c r="F49" s="35">
        <v>59.23</v>
      </c>
      <c r="G49" s="1"/>
      <c r="H49" s="9"/>
    </row>
    <row r="50" spans="1:8" x14ac:dyDescent="0.15">
      <c r="A50" s="8"/>
      <c r="B50" s="35"/>
      <c r="C50" s="1"/>
      <c r="D50" s="3"/>
      <c r="E50" s="8"/>
      <c r="F50" s="35"/>
      <c r="G50" s="1"/>
      <c r="H50" s="9"/>
    </row>
    <row r="51" spans="1:8" x14ac:dyDescent="0.15">
      <c r="A51" s="46" t="s">
        <v>85</v>
      </c>
      <c r="B51" s="35">
        <f>('2017'!B51*Faktor!$B$6)+'2017'!B51</f>
        <v>2.9550999999999998</v>
      </c>
      <c r="C51" s="1"/>
      <c r="D51" s="3"/>
      <c r="E51" s="8" t="s">
        <v>61</v>
      </c>
      <c r="F51" s="35">
        <f>('2017'!F51*Faktor!$B$6)+'2017'!F51</f>
        <v>1.7402509616122799</v>
      </c>
      <c r="G51" s="1"/>
      <c r="H51" s="9"/>
    </row>
    <row r="52" spans="1:8" x14ac:dyDescent="0.15">
      <c r="A52" s="8"/>
      <c r="B52" s="32"/>
      <c r="C52" s="1"/>
      <c r="D52" s="3"/>
      <c r="E52" s="8" t="s">
        <v>4</v>
      </c>
      <c r="F52" s="35"/>
      <c r="G52" s="1"/>
      <c r="H52" s="9"/>
    </row>
    <row r="53" spans="1:8" ht="13.5" thickBot="1" x14ac:dyDescent="0.2">
      <c r="A53" s="10"/>
      <c r="B53" s="11"/>
      <c r="C53" s="12"/>
      <c r="D53" s="15"/>
      <c r="E53" s="10" t="s">
        <v>62</v>
      </c>
      <c r="F53" s="39"/>
      <c r="G53" s="12"/>
      <c r="H53" s="13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46C2-5AF3-4D67-A5B6-5B2C38989AD6}">
  <dimension ref="A1:H53"/>
  <sheetViews>
    <sheetView workbookViewId="0">
      <selection sqref="A1:H53"/>
    </sheetView>
  </sheetViews>
  <sheetFormatPr defaultColWidth="8.8984375" defaultRowHeight="12.75" x14ac:dyDescent="0.15"/>
  <cols>
    <col min="1" max="1" width="17.125" customWidth="1"/>
    <col min="2" max="4" width="8.8984375" customWidth="1"/>
    <col min="5" max="5" width="16.44921875" customWidth="1"/>
  </cols>
  <sheetData>
    <row r="1" spans="1:8" ht="18.75" thickBot="1" x14ac:dyDescent="0.25">
      <c r="A1" s="139" t="s">
        <v>91</v>
      </c>
      <c r="B1" s="140"/>
      <c r="C1" s="140"/>
      <c r="D1" s="140"/>
      <c r="E1" s="140"/>
      <c r="F1" s="140"/>
      <c r="G1" s="140"/>
      <c r="H1" s="141"/>
    </row>
    <row r="2" spans="1:8" x14ac:dyDescent="0.15">
      <c r="A2" s="21" t="s">
        <v>0</v>
      </c>
      <c r="B2" s="22"/>
      <c r="C2" s="23"/>
      <c r="D2" s="23"/>
      <c r="E2" s="24" t="s">
        <v>8</v>
      </c>
      <c r="F2" s="22"/>
      <c r="G2" s="23"/>
      <c r="H2" s="25"/>
    </row>
    <row r="3" spans="1:8" x14ac:dyDescent="0.15">
      <c r="A3" s="7" t="s">
        <v>1</v>
      </c>
      <c r="B3" s="19"/>
      <c r="C3" s="4"/>
      <c r="D3" s="4"/>
      <c r="E3" s="5" t="s">
        <v>9</v>
      </c>
      <c r="F3" s="3"/>
      <c r="G3" s="4"/>
      <c r="H3" s="6"/>
    </row>
    <row r="4" spans="1:8" x14ac:dyDescent="0.15">
      <c r="A4" s="7" t="s">
        <v>2</v>
      </c>
      <c r="B4" s="3"/>
      <c r="C4" s="4"/>
      <c r="D4" s="20"/>
      <c r="E4" s="5" t="s">
        <v>10</v>
      </c>
      <c r="F4" s="3"/>
      <c r="G4" s="4"/>
      <c r="H4" s="6"/>
    </row>
    <row r="5" spans="1:8" ht="13.5" thickBot="1" x14ac:dyDescent="0.2">
      <c r="A5" s="14" t="s">
        <v>3</v>
      </c>
      <c r="B5" s="15"/>
      <c r="C5" s="16"/>
      <c r="D5" s="16"/>
      <c r="E5" s="17" t="s">
        <v>11</v>
      </c>
      <c r="F5" s="15"/>
      <c r="G5" s="16"/>
      <c r="H5" s="18"/>
    </row>
    <row r="6" spans="1:8" x14ac:dyDescent="0.15">
      <c r="A6" s="37"/>
      <c r="B6" s="41" t="s">
        <v>5</v>
      </c>
      <c r="C6" s="41" t="s">
        <v>6</v>
      </c>
      <c r="D6" s="41" t="s">
        <v>7</v>
      </c>
      <c r="E6" s="27"/>
      <c r="F6" s="41" t="s">
        <v>5</v>
      </c>
      <c r="G6" s="41" t="s">
        <v>6</v>
      </c>
      <c r="H6" s="42" t="s">
        <v>7</v>
      </c>
    </row>
    <row r="7" spans="1:8" x14ac:dyDescent="0.15">
      <c r="A7" s="8" t="s">
        <v>12</v>
      </c>
      <c r="B7" s="35">
        <f>('2018'!B7*Faktor!$B$7)+'2018'!B7</f>
        <v>2.25103214</v>
      </c>
      <c r="C7" s="1"/>
      <c r="D7" s="1"/>
      <c r="E7" s="1" t="s">
        <v>41</v>
      </c>
      <c r="F7" s="35">
        <f>('2018'!F7*Faktor!$B$7)+'2018'!F7</f>
        <v>4.3153427200000003</v>
      </c>
      <c r="G7" s="1"/>
      <c r="H7" s="9"/>
    </row>
    <row r="8" spans="1:8" x14ac:dyDescent="0.15">
      <c r="A8" s="8" t="s">
        <v>45</v>
      </c>
      <c r="B8" s="35">
        <f>('2018'!B8*Faktor!$B$7)+'2018'!B8</f>
        <v>5.7157544199999997</v>
      </c>
      <c r="C8" s="1"/>
      <c r="D8" s="1"/>
      <c r="E8" s="1" t="s">
        <v>40</v>
      </c>
      <c r="F8" s="35">
        <f>('2018'!F8*Faktor!$B$7)+'2018'!F8</f>
        <v>4.3153427200000003</v>
      </c>
      <c r="G8" s="1"/>
      <c r="H8" s="9"/>
    </row>
    <row r="9" spans="1:8" x14ac:dyDescent="0.15">
      <c r="A9" s="8" t="s">
        <v>13</v>
      </c>
      <c r="B9" s="35">
        <f>('2018'!B9*Faktor!$B$7)+'2018'!B9</f>
        <v>34.346393620000001</v>
      </c>
      <c r="C9" s="1"/>
      <c r="D9" s="1"/>
      <c r="E9" s="1" t="s">
        <v>39</v>
      </c>
      <c r="F9" s="35">
        <f>('2018'!F9*Faktor!$B$7)+'2018'!F9</f>
        <v>4.3153427200000003</v>
      </c>
      <c r="G9" s="1"/>
      <c r="H9" s="9"/>
    </row>
    <row r="10" spans="1:8" x14ac:dyDescent="0.15">
      <c r="A10" s="8" t="s">
        <v>14</v>
      </c>
      <c r="B10" s="35">
        <f>('2018'!B10*Faktor!$B$7)+'2018'!B10</f>
        <v>22.904511359999997</v>
      </c>
      <c r="C10" s="1"/>
      <c r="D10" s="1"/>
      <c r="E10" s="1" t="s">
        <v>38</v>
      </c>
      <c r="F10" s="35">
        <f>('2018'!F10*Faktor!$B$7)+'2018'!F10</f>
        <v>2.1472979400000001</v>
      </c>
      <c r="G10" s="1"/>
      <c r="H10" s="9"/>
    </row>
    <row r="11" spans="1:8" x14ac:dyDescent="0.15">
      <c r="A11" s="8" t="s">
        <v>15</v>
      </c>
      <c r="B11" s="35">
        <f>('2018'!B11*Faktor!$B$7)+'2018'!B11</f>
        <v>17.188756940000001</v>
      </c>
      <c r="C11" s="1"/>
      <c r="D11" s="1"/>
      <c r="E11" s="1" t="s">
        <v>37</v>
      </c>
      <c r="F11" s="35">
        <f>('2018'!F11*Faktor!$B$7)+'2018'!F11</f>
        <v>2.1472979400000001</v>
      </c>
      <c r="G11" s="1"/>
      <c r="H11" s="9"/>
    </row>
    <row r="12" spans="1:8" x14ac:dyDescent="0.15">
      <c r="A12" s="8" t="s">
        <v>16</v>
      </c>
      <c r="B12" s="35">
        <f>('2018'!B12*Faktor!$B$7)+'2018'!B12</f>
        <v>11.441882259999998</v>
      </c>
      <c r="C12" s="1"/>
      <c r="D12" s="1"/>
      <c r="E12" s="1" t="s">
        <v>36</v>
      </c>
      <c r="F12" s="35">
        <f>('2018'!F12*Faktor!$B$7)+'2018'!F12</f>
        <v>2.1472979400000001</v>
      </c>
      <c r="G12" s="1"/>
      <c r="H12" s="9"/>
    </row>
    <row r="13" spans="1:8" x14ac:dyDescent="0.15">
      <c r="A13" s="8"/>
      <c r="B13" s="35"/>
      <c r="C13" s="1"/>
      <c r="D13" s="1"/>
      <c r="E13" s="45" t="s">
        <v>74</v>
      </c>
      <c r="F13" s="35">
        <f>('2018'!F13*Faktor!$B$7)+'2018'!F13</f>
        <v>8.4854575599999986</v>
      </c>
      <c r="G13" s="1"/>
      <c r="H13" s="9"/>
    </row>
    <row r="14" spans="1:8" x14ac:dyDescent="0.15">
      <c r="A14" s="8" t="s">
        <v>18</v>
      </c>
      <c r="B14" s="35">
        <f>('2018'!B14*Faktor!$B$7)+'2018'!B14</f>
        <v>5.1037226399999991</v>
      </c>
      <c r="C14" s="1"/>
      <c r="D14" s="1"/>
      <c r="E14" s="1" t="s">
        <v>51</v>
      </c>
      <c r="F14" s="35">
        <f>('2018'!F14*Faktor!$B$7)+'2018'!F14</f>
        <v>4.999988440000001</v>
      </c>
      <c r="G14" s="1"/>
      <c r="H14" s="9"/>
    </row>
    <row r="15" spans="1:8" x14ac:dyDescent="0.15">
      <c r="A15" s="8" t="s">
        <v>19</v>
      </c>
      <c r="B15" s="35">
        <f>('2018'!B15*Faktor!$B$7)+'2018'!B15</f>
        <v>5.1037226399999991</v>
      </c>
      <c r="C15" s="1"/>
      <c r="D15" s="1"/>
      <c r="E15" s="1" t="s">
        <v>52</v>
      </c>
      <c r="F15" s="35">
        <f>('2018'!F15*Faktor!$B$7)+'2018'!F15</f>
        <v>4.1389945800000003</v>
      </c>
      <c r="G15" s="1"/>
      <c r="H15" s="9"/>
    </row>
    <row r="16" spans="1:8" x14ac:dyDescent="0.15">
      <c r="A16" s="8" t="s">
        <v>20</v>
      </c>
      <c r="B16" s="35">
        <f>('2018'!B16*Faktor!$B$7)+'2018'!B16</f>
        <v>5.1037226399999991</v>
      </c>
      <c r="C16" s="1"/>
      <c r="D16" s="1"/>
      <c r="E16" s="1" t="s">
        <v>53</v>
      </c>
      <c r="F16" s="35">
        <f>('2018'!F16*Faktor!$B$7)+'2018'!F16</f>
        <v>3.3194944</v>
      </c>
      <c r="G16" s="1"/>
      <c r="H16" s="9"/>
    </row>
    <row r="17" spans="1:8" x14ac:dyDescent="0.15">
      <c r="A17" s="8" t="s">
        <v>21</v>
      </c>
      <c r="B17" s="35">
        <f>('2018'!B17*Faktor!$B$7)+'2018'!B17</f>
        <v>5.1037226399999991</v>
      </c>
      <c r="C17" s="1"/>
      <c r="D17" s="1"/>
      <c r="E17" s="1" t="s">
        <v>54</v>
      </c>
      <c r="F17" s="35">
        <f>('2018'!F17*Faktor!$B$7)+'2018'!F17</f>
        <v>2.4792473799999999</v>
      </c>
      <c r="G17" s="1"/>
      <c r="H17" s="9"/>
    </row>
    <row r="18" spans="1:8" x14ac:dyDescent="0.15">
      <c r="A18" s="8" t="s">
        <v>22</v>
      </c>
      <c r="B18" s="35">
        <f>('2018'!B18*Faktor!$B$7)+'2018'!B18</f>
        <v>5.1037226399999991</v>
      </c>
      <c r="C18" s="1"/>
      <c r="D18" s="1"/>
      <c r="E18" s="1" t="s">
        <v>55</v>
      </c>
      <c r="F18" s="35">
        <f>('2018'!F18*Faktor!$B$7)+'2018'!F18</f>
        <v>2.0850574200000001</v>
      </c>
      <c r="G18" s="1"/>
      <c r="H18" s="9"/>
    </row>
    <row r="19" spans="1:8" x14ac:dyDescent="0.15">
      <c r="A19" s="8" t="s">
        <v>23</v>
      </c>
      <c r="B19" s="35">
        <f>('2018'!B19*Faktor!$B$7)+'2018'!B19</f>
        <v>5.1037226399999991</v>
      </c>
      <c r="C19" s="1"/>
      <c r="D19" s="1"/>
      <c r="E19" s="1" t="s">
        <v>56</v>
      </c>
      <c r="F19" s="35">
        <f>('2018'!F19*Faktor!$B$7)+'2018'!F19</f>
        <v>1.18256988</v>
      </c>
      <c r="G19" s="1"/>
      <c r="H19" s="9"/>
    </row>
    <row r="20" spans="1:8" x14ac:dyDescent="0.15">
      <c r="A20" s="8" t="s">
        <v>24</v>
      </c>
      <c r="B20" s="35">
        <f>('2018'!B20*Faktor!$B$7)+'2018'!B20</f>
        <v>5.1037226399999991</v>
      </c>
      <c r="C20" s="1"/>
      <c r="D20" s="1"/>
      <c r="E20" s="1"/>
      <c r="F20" s="35"/>
      <c r="G20" s="1"/>
      <c r="H20" s="9"/>
    </row>
    <row r="21" spans="1:8" x14ac:dyDescent="0.15">
      <c r="A21" s="8" t="s">
        <v>26</v>
      </c>
      <c r="B21" s="35">
        <f>('2018'!B21*Faktor!$B$7)+'2018'!B21</f>
        <v>5.1037226399999991</v>
      </c>
      <c r="C21" s="1"/>
      <c r="D21" s="1"/>
      <c r="E21" s="1" t="s">
        <v>76</v>
      </c>
      <c r="F21" s="35">
        <f>('2018'!F21*Faktor!$B$7)+'2018'!F21</f>
        <v>4.6369187399999996</v>
      </c>
      <c r="G21" s="1"/>
      <c r="H21" s="9"/>
    </row>
    <row r="22" spans="1:8" x14ac:dyDescent="0.15">
      <c r="A22" s="8" t="s">
        <v>27</v>
      </c>
      <c r="B22" s="35">
        <f>('2018'!B22*Faktor!$B$7)+'2018'!B22</f>
        <v>5.1037226399999991</v>
      </c>
      <c r="C22" s="1"/>
      <c r="D22" s="1"/>
      <c r="E22" s="1" t="s">
        <v>77</v>
      </c>
      <c r="F22" s="35">
        <f>('2018'!F22*Faktor!$B$7)+'2018'!F22</f>
        <v>9.2738374799999992</v>
      </c>
      <c r="G22" s="1"/>
      <c r="H22" s="9"/>
    </row>
    <row r="23" spans="1:8" x14ac:dyDescent="0.15">
      <c r="A23" s="8" t="s">
        <v>28</v>
      </c>
      <c r="B23" s="35">
        <f>('2018'!B23*Faktor!$B$7)+'2018'!B23</f>
        <v>5.1037226399999991</v>
      </c>
      <c r="C23" s="1"/>
      <c r="D23" s="1"/>
      <c r="E23" s="1" t="s">
        <v>78</v>
      </c>
      <c r="F23" s="35">
        <f>('2018'!F23*Faktor!$B$7)+'2018'!F23</f>
        <v>13.91075622</v>
      </c>
      <c r="G23" s="1"/>
      <c r="H23" s="9"/>
    </row>
    <row r="24" spans="1:8" x14ac:dyDescent="0.15">
      <c r="A24" s="8" t="s">
        <v>29</v>
      </c>
      <c r="B24" s="35">
        <f>('2018'!B24*Faktor!$B$7)+'2018'!B24</f>
        <v>5.1037226399999991</v>
      </c>
      <c r="C24" s="1"/>
      <c r="D24" s="1"/>
      <c r="E24" s="1" t="s">
        <v>79</v>
      </c>
      <c r="F24" s="35">
        <f>('2018'!F24*Faktor!$B$7)+'2018'!F24</f>
        <v>18.547674959999998</v>
      </c>
      <c r="G24" s="1"/>
      <c r="H24" s="9"/>
    </row>
    <row r="25" spans="1:8" x14ac:dyDescent="0.15">
      <c r="A25" s="8" t="s">
        <v>25</v>
      </c>
      <c r="B25" s="35">
        <f>('2018'!B25*Faktor!$B$7)+'2018'!B25</f>
        <v>5.1037226399999991</v>
      </c>
      <c r="C25" s="1"/>
      <c r="D25" s="1"/>
      <c r="E25" s="1" t="s">
        <v>80</v>
      </c>
      <c r="F25" s="35">
        <f>('2018'!F25*Faktor!$B$7)+'2018'!F25</f>
        <v>23.184593700000001</v>
      </c>
      <c r="G25" s="1"/>
      <c r="H25" s="9"/>
    </row>
    <row r="26" spans="1:8" x14ac:dyDescent="0.15">
      <c r="A26" s="8" t="s">
        <v>30</v>
      </c>
      <c r="B26" s="35">
        <f>('2018'!B26*Faktor!$B$7)+'2018'!B26</f>
        <v>2.8910372846200381</v>
      </c>
      <c r="C26" s="1"/>
      <c r="D26" s="1"/>
      <c r="E26" s="1" t="s">
        <v>81</v>
      </c>
      <c r="F26" s="35">
        <f>('2018'!F26*Faktor!$B$7)+'2018'!F26</f>
        <v>27.821512439999999</v>
      </c>
      <c r="G26" s="1"/>
      <c r="H26" s="9"/>
    </row>
    <row r="27" spans="1:8" x14ac:dyDescent="0.15">
      <c r="A27" s="8" t="s">
        <v>44</v>
      </c>
      <c r="B27" s="35">
        <f>('2018'!B27*Faktor!$B$7)+'2018'!B27</f>
        <v>2.8910372846200381</v>
      </c>
      <c r="C27" s="1"/>
      <c r="D27" s="1"/>
      <c r="E27" s="1"/>
      <c r="F27" s="35"/>
      <c r="G27" s="1"/>
      <c r="H27" s="9"/>
    </row>
    <row r="28" spans="1:8" x14ac:dyDescent="0.15">
      <c r="A28" s="8" t="s">
        <v>31</v>
      </c>
      <c r="B28" s="35">
        <f>('2018'!B28*Faktor!$B$7)+'2018'!B28</f>
        <v>6.1203178000000005</v>
      </c>
      <c r="C28" s="1"/>
      <c r="D28" s="1"/>
      <c r="E28" s="1"/>
      <c r="F28" s="35"/>
      <c r="G28" s="1"/>
      <c r="H28" s="9"/>
    </row>
    <row r="29" spans="1:8" x14ac:dyDescent="0.15">
      <c r="A29" s="8" t="s">
        <v>32</v>
      </c>
      <c r="B29" s="35">
        <f>('2018'!B29*Faktor!$B$7)+'2018'!B29</f>
        <v>6.1203178000000005</v>
      </c>
      <c r="C29" s="1"/>
      <c r="D29" s="1"/>
      <c r="E29" s="1"/>
      <c r="F29" s="35"/>
      <c r="G29" s="1"/>
      <c r="H29" s="9"/>
    </row>
    <row r="30" spans="1:8" x14ac:dyDescent="0.15">
      <c r="A30" s="8" t="s">
        <v>33</v>
      </c>
      <c r="B30" s="35">
        <f>('2018'!B30*Faktor!$B$7)+'2018'!B30</f>
        <v>6.1203178000000005</v>
      </c>
      <c r="C30" s="1"/>
      <c r="D30" s="1"/>
      <c r="E30" s="1" t="s">
        <v>43</v>
      </c>
      <c r="F30" s="35">
        <f>('2018'!F30*Faktor!$B$7)+'2018'!F30</f>
        <v>4.999988440000001</v>
      </c>
      <c r="G30" s="1"/>
      <c r="H30" s="9"/>
    </row>
    <row r="31" spans="1:8" x14ac:dyDescent="0.15">
      <c r="A31" s="8" t="s">
        <v>34</v>
      </c>
      <c r="B31" s="35">
        <f>('2018'!B31*Faktor!$B$7)+'2018'!B31</f>
        <v>6.1203178000000005</v>
      </c>
      <c r="C31" s="1"/>
      <c r="D31" s="1"/>
      <c r="E31" s="1" t="s">
        <v>75</v>
      </c>
      <c r="F31" s="35">
        <f>('2018'!F31*Faktor!$B$7)+'2018'!F31</f>
        <v>4.1389945800000003</v>
      </c>
      <c r="G31" s="1"/>
      <c r="H31" s="9"/>
    </row>
    <row r="32" spans="1:8" x14ac:dyDescent="0.15">
      <c r="A32" s="8" t="s">
        <v>35</v>
      </c>
      <c r="B32" s="35">
        <f>('2018'!B32*Faktor!$B$7)+'2018'!B32</f>
        <v>6.1203178000000005</v>
      </c>
      <c r="C32" s="1"/>
      <c r="D32" s="1"/>
      <c r="E32" s="1" t="s">
        <v>83</v>
      </c>
      <c r="F32" s="35">
        <f>('2018'!F32*Faktor!$B$7)+'2018'!F32</f>
        <v>43.205294299999998</v>
      </c>
      <c r="G32" s="1"/>
      <c r="H32" s="9"/>
    </row>
    <row r="33" spans="1:8" x14ac:dyDescent="0.15">
      <c r="A33" s="8" t="s">
        <v>46</v>
      </c>
      <c r="B33" s="35">
        <f>('2018'!B33*Faktor!$B$7)+'2018'!B33</f>
        <v>5.2904441999999996</v>
      </c>
      <c r="C33" s="1"/>
      <c r="D33" s="1"/>
      <c r="E33" s="45" t="s">
        <v>84</v>
      </c>
      <c r="F33" s="35">
        <f>('2018'!F33*Faktor!$B$7)+'2018'!F33</f>
        <v>10.80910364</v>
      </c>
      <c r="G33" s="1"/>
      <c r="H33" s="9"/>
    </row>
    <row r="34" spans="1:8" x14ac:dyDescent="0.15">
      <c r="A34" s="8" t="s">
        <v>47</v>
      </c>
      <c r="B34" s="35">
        <f>('2018'!B34*Faktor!$B$7)+'2018'!B34</f>
        <v>5.2904441999999996</v>
      </c>
      <c r="C34" s="1"/>
      <c r="D34" s="1"/>
      <c r="E34" s="1"/>
      <c r="F34" s="35"/>
      <c r="G34" s="1"/>
      <c r="H34" s="9"/>
    </row>
    <row r="35" spans="1:8" x14ac:dyDescent="0.15">
      <c r="A35" s="8" t="s">
        <v>48</v>
      </c>
      <c r="B35" s="35">
        <f>('2018'!B35*Faktor!$B$7)+'2018'!B35</f>
        <v>5.2904441999999996</v>
      </c>
      <c r="C35" s="1"/>
      <c r="D35" s="1"/>
      <c r="E35" s="1"/>
      <c r="F35" s="35"/>
      <c r="G35" s="1"/>
      <c r="H35" s="9"/>
    </row>
    <row r="36" spans="1:8" x14ac:dyDescent="0.15">
      <c r="A36" s="8" t="s">
        <v>49</v>
      </c>
      <c r="B36" s="35">
        <f>('2018'!B36*Faktor!$B$7)+'2018'!B36</f>
        <v>5.2904441999999996</v>
      </c>
      <c r="C36" s="1"/>
      <c r="D36" s="1"/>
      <c r="E36" s="1" t="s">
        <v>63</v>
      </c>
      <c r="F36" s="35">
        <f>('2018'!F36*Faktor!$B$7)+'2018'!F36</f>
        <v>3.3609880800000003</v>
      </c>
      <c r="G36" s="1"/>
      <c r="H36" s="9"/>
    </row>
    <row r="37" spans="1:8" x14ac:dyDescent="0.15">
      <c r="A37" s="8" t="s">
        <v>50</v>
      </c>
      <c r="B37" s="35">
        <f>('2018'!B37*Faktor!$B$7)+'2018'!B37</f>
        <v>5.2904441999999996</v>
      </c>
      <c r="C37" s="1"/>
      <c r="D37" s="1"/>
      <c r="E37" s="1" t="s">
        <v>64</v>
      </c>
      <c r="F37" s="35">
        <f>('2018'!F37*Faktor!$B$7)+'2018'!F37</f>
        <v>3.3609880800000003</v>
      </c>
      <c r="G37" s="1"/>
      <c r="H37" s="9"/>
    </row>
    <row r="38" spans="1:8" x14ac:dyDescent="0.15">
      <c r="A38" s="8"/>
      <c r="B38" s="35"/>
      <c r="C38" s="1"/>
      <c r="D38" s="1"/>
      <c r="E38" s="1" t="s">
        <v>65</v>
      </c>
      <c r="F38" s="35">
        <f>('2018'!F38*Faktor!$B$7)+'2018'!F38</f>
        <v>3.3609880800000003</v>
      </c>
      <c r="G38" s="1"/>
      <c r="H38" s="9"/>
    </row>
    <row r="39" spans="1:8" x14ac:dyDescent="0.15">
      <c r="A39" s="8"/>
      <c r="B39" s="35"/>
      <c r="C39" s="1"/>
      <c r="D39" s="1"/>
      <c r="E39" s="1" t="s">
        <v>66</v>
      </c>
      <c r="F39" s="35">
        <f>('2018'!F39*Faktor!$B$7)+'2018'!F39</f>
        <v>3.3609880800000003</v>
      </c>
      <c r="G39" s="1"/>
      <c r="H39" s="9"/>
    </row>
    <row r="40" spans="1:8" x14ac:dyDescent="0.15">
      <c r="A40" s="8" t="s">
        <v>86</v>
      </c>
      <c r="B40" s="35">
        <f>('2018'!B40*Faktor!$B$7)+'2018'!B40</f>
        <v>6.9086977200000002</v>
      </c>
      <c r="C40" s="1"/>
      <c r="D40" s="1"/>
      <c r="E40" s="1" t="s">
        <v>67</v>
      </c>
      <c r="F40" s="35">
        <f>('2018'!F40*Faktor!$B$7)+'2018'!F40</f>
        <v>3.3609880800000003</v>
      </c>
      <c r="G40" s="1"/>
      <c r="H40" s="9"/>
    </row>
    <row r="41" spans="1:8" x14ac:dyDescent="0.15">
      <c r="A41" s="8" t="s">
        <v>69</v>
      </c>
      <c r="B41" s="35">
        <f>('2018'!B41*Faktor!$B$7)+'2018'!B41</f>
        <v>8.6410588599999993</v>
      </c>
      <c r="C41" s="1"/>
      <c r="D41" s="1"/>
      <c r="E41" s="1" t="s">
        <v>68</v>
      </c>
      <c r="F41" s="35">
        <f>('2018'!F41*Faktor!$B$7)+'2018'!F41</f>
        <v>3.3609880800000003</v>
      </c>
      <c r="G41" s="1"/>
      <c r="H41" s="9"/>
    </row>
    <row r="42" spans="1:8" x14ac:dyDescent="0.15">
      <c r="A42" s="8"/>
      <c r="B42" s="35"/>
      <c r="C42" s="1"/>
      <c r="D42" s="1"/>
      <c r="E42" s="1"/>
      <c r="F42" s="35"/>
      <c r="G42" s="1"/>
      <c r="H42" s="9"/>
    </row>
    <row r="43" spans="1:8" x14ac:dyDescent="0.15">
      <c r="A43" s="8" t="s">
        <v>72</v>
      </c>
      <c r="B43" s="35">
        <f>('2018'!B43*Faktor!$B$7)+'2018'!B43</f>
        <v>1.4964599999999999</v>
      </c>
      <c r="C43" s="1"/>
      <c r="D43" s="1"/>
      <c r="E43" s="1"/>
      <c r="F43" s="35"/>
      <c r="G43" s="1"/>
      <c r="H43" s="9"/>
    </row>
    <row r="44" spans="1:8" ht="13.5" thickBot="1" x14ac:dyDescent="0.2">
      <c r="A44" s="8" t="s">
        <v>73</v>
      </c>
      <c r="B44" s="35">
        <f>('2018'!B44*Faktor!$B$7)+'2018'!B44</f>
        <v>14.398306959999999</v>
      </c>
      <c r="C44" s="1"/>
      <c r="D44" s="1"/>
      <c r="E44" s="26"/>
      <c r="F44" s="48"/>
      <c r="G44" s="26"/>
      <c r="H44" s="36"/>
    </row>
    <row r="45" spans="1:8" x14ac:dyDescent="0.15">
      <c r="A45" s="8"/>
      <c r="B45" s="35"/>
      <c r="C45" s="1"/>
      <c r="D45" s="3"/>
      <c r="E45" s="37" t="s">
        <v>57</v>
      </c>
      <c r="F45" s="47"/>
      <c r="G45" s="27"/>
      <c r="H45" s="28"/>
    </row>
    <row r="46" spans="1:8" x14ac:dyDescent="0.15">
      <c r="A46" s="8"/>
      <c r="B46" s="35"/>
      <c r="C46" s="1"/>
      <c r="D46" s="3"/>
      <c r="E46" s="8" t="s">
        <v>58</v>
      </c>
      <c r="F46" s="35"/>
      <c r="G46" s="1"/>
      <c r="H46" s="9"/>
    </row>
    <row r="47" spans="1:8" x14ac:dyDescent="0.15">
      <c r="A47" s="8"/>
      <c r="B47" s="35"/>
      <c r="C47" s="1"/>
      <c r="D47" s="3"/>
      <c r="E47" s="8" t="s">
        <v>59</v>
      </c>
      <c r="F47" s="35">
        <v>2.9</v>
      </c>
      <c r="G47" s="1"/>
      <c r="H47" s="9"/>
    </row>
    <row r="48" spans="1:8" x14ac:dyDescent="0.15">
      <c r="A48" s="8" t="s">
        <v>92</v>
      </c>
      <c r="B48" s="35">
        <v>5</v>
      </c>
      <c r="C48" s="1"/>
      <c r="D48" s="3"/>
      <c r="E48" s="8" t="s">
        <v>60</v>
      </c>
      <c r="F48" s="35"/>
      <c r="G48" s="1"/>
      <c r="H48" s="9"/>
    </row>
    <row r="49" spans="1:8" x14ac:dyDescent="0.15">
      <c r="A49" s="8" t="s">
        <v>71</v>
      </c>
      <c r="B49" s="35">
        <f>('2018'!B49*Faktor!$B$7)+'2018'!B49</f>
        <v>8.5613799999999998</v>
      </c>
      <c r="C49" s="1"/>
      <c r="D49" s="3"/>
      <c r="E49" s="8" t="s">
        <v>82</v>
      </c>
      <c r="F49" s="35">
        <v>60.48</v>
      </c>
      <c r="G49" s="1"/>
      <c r="H49" s="9"/>
    </row>
    <row r="50" spans="1:8" x14ac:dyDescent="0.15">
      <c r="A50" s="8"/>
      <c r="B50" s="35"/>
      <c r="C50" s="1"/>
      <c r="D50" s="3"/>
      <c r="E50" s="8"/>
      <c r="F50" s="35"/>
      <c r="G50" s="1"/>
      <c r="H50" s="9"/>
    </row>
    <row r="51" spans="1:8" x14ac:dyDescent="0.15">
      <c r="A51" s="46" t="s">
        <v>85</v>
      </c>
      <c r="B51" s="35">
        <f>('2018'!B51*Faktor!$B$7)+'2018'!B51</f>
        <v>3.0082917999999998</v>
      </c>
      <c r="C51" s="1"/>
      <c r="D51" s="3"/>
      <c r="E51" s="8" t="s">
        <v>61</v>
      </c>
      <c r="F51" s="35">
        <f>('2018'!F51*Faktor!$B$7)+'2018'!F51</f>
        <v>1.771575478921301</v>
      </c>
      <c r="G51" s="1"/>
      <c r="H51" s="9"/>
    </row>
    <row r="52" spans="1:8" x14ac:dyDescent="0.15">
      <c r="A52" s="8"/>
      <c r="B52" s="32"/>
      <c r="C52" s="1"/>
      <c r="D52" s="3"/>
      <c r="E52" s="8" t="s">
        <v>4</v>
      </c>
      <c r="F52" s="35"/>
      <c r="G52" s="1"/>
      <c r="H52" s="9"/>
    </row>
    <row r="53" spans="1:8" ht="13.5" thickBot="1" x14ac:dyDescent="0.2">
      <c r="A53" s="10"/>
      <c r="B53" s="11"/>
      <c r="C53" s="12"/>
      <c r="D53" s="15"/>
      <c r="E53" s="10" t="s">
        <v>62</v>
      </c>
      <c r="F53" s="39"/>
      <c r="G53" s="12"/>
      <c r="H53" s="13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0D60-2AEE-4721-8D0D-BBA554B4F4E9}">
  <dimension ref="A1:H58"/>
  <sheetViews>
    <sheetView zoomScale="170" zoomScaleNormal="170" workbookViewId="0">
      <selection activeCell="B8" sqref="B8"/>
    </sheetView>
  </sheetViews>
  <sheetFormatPr defaultColWidth="8.8984375" defaultRowHeight="12.75" x14ac:dyDescent="0.15"/>
  <cols>
    <col min="1" max="1" width="18.7421875" customWidth="1"/>
    <col min="2" max="4" width="8.8984375" customWidth="1"/>
    <col min="5" max="5" width="19.1484375" customWidth="1"/>
  </cols>
  <sheetData>
    <row r="1" spans="1:8" ht="18.75" thickBot="1" x14ac:dyDescent="0.25">
      <c r="A1" s="139" t="s">
        <v>97</v>
      </c>
      <c r="B1" s="140"/>
      <c r="C1" s="140"/>
      <c r="D1" s="140"/>
      <c r="E1" s="140"/>
      <c r="F1" s="140"/>
      <c r="G1" s="140"/>
      <c r="H1" s="141"/>
    </row>
    <row r="2" spans="1:8" x14ac:dyDescent="0.15">
      <c r="A2" s="21" t="s">
        <v>0</v>
      </c>
      <c r="B2" s="22"/>
      <c r="C2" s="23"/>
      <c r="D2" s="23"/>
      <c r="E2" s="71" t="s">
        <v>8</v>
      </c>
      <c r="F2" s="23"/>
      <c r="G2" s="23"/>
      <c r="H2" s="25"/>
    </row>
    <row r="3" spans="1:8" x14ac:dyDescent="0.15">
      <c r="A3" s="7" t="s">
        <v>1</v>
      </c>
      <c r="B3" s="19"/>
      <c r="C3" s="4"/>
      <c r="D3" s="4"/>
      <c r="E3" s="72" t="s">
        <v>9</v>
      </c>
      <c r="F3" s="4"/>
      <c r="G3" s="4"/>
      <c r="H3" s="6"/>
    </row>
    <row r="4" spans="1:8" x14ac:dyDescent="0.15">
      <c r="A4" s="7" t="s">
        <v>2</v>
      </c>
      <c r="B4" s="19"/>
      <c r="C4" s="4"/>
      <c r="D4" s="4"/>
      <c r="E4" s="72" t="s">
        <v>10</v>
      </c>
      <c r="F4" s="4"/>
      <c r="G4" s="4"/>
      <c r="H4" s="6"/>
    </row>
    <row r="5" spans="1:8" x14ac:dyDescent="0.15">
      <c r="A5" s="7" t="s">
        <v>95</v>
      </c>
      <c r="B5" s="3"/>
      <c r="C5" s="4"/>
      <c r="D5" s="20"/>
      <c r="E5" s="72"/>
      <c r="F5" s="4"/>
      <c r="G5" s="4"/>
      <c r="H5" s="6"/>
    </row>
    <row r="6" spans="1:8" ht="13.5" thickBot="1" x14ac:dyDescent="0.2">
      <c r="A6" s="14" t="s">
        <v>11</v>
      </c>
      <c r="B6" s="15"/>
      <c r="C6" s="16"/>
      <c r="D6" s="16"/>
      <c r="E6" s="73"/>
      <c r="F6" s="16"/>
      <c r="G6" s="16"/>
      <c r="H6" s="18"/>
    </row>
    <row r="7" spans="1:8" x14ac:dyDescent="0.15">
      <c r="A7" s="37"/>
      <c r="B7" s="41" t="s">
        <v>5</v>
      </c>
      <c r="C7" s="41" t="s">
        <v>6</v>
      </c>
      <c r="D7" s="41" t="s">
        <v>7</v>
      </c>
      <c r="E7" s="27"/>
      <c r="F7" s="41" t="s">
        <v>5</v>
      </c>
      <c r="G7" s="41" t="s">
        <v>6</v>
      </c>
      <c r="H7" s="42" t="s">
        <v>7</v>
      </c>
    </row>
    <row r="8" spans="1:8" x14ac:dyDescent="0.15">
      <c r="A8" s="8" t="s">
        <v>12</v>
      </c>
      <c r="B8" s="35">
        <v>2.36</v>
      </c>
      <c r="C8" s="1"/>
      <c r="D8" s="1"/>
      <c r="E8" s="1" t="s">
        <v>41</v>
      </c>
      <c r="F8" s="35">
        <v>4.21</v>
      </c>
      <c r="G8" s="1"/>
      <c r="H8" s="9"/>
    </row>
    <row r="9" spans="1:8" x14ac:dyDescent="0.15">
      <c r="A9" s="8" t="s">
        <v>45</v>
      </c>
      <c r="B9" s="35">
        <f>('2019'!B8*Faktor!$B$8)+'2019'!B8</f>
        <v>5.83578526282</v>
      </c>
      <c r="C9" s="1"/>
      <c r="D9" s="1"/>
      <c r="E9" s="1" t="s">
        <v>40</v>
      </c>
      <c r="F9" s="35">
        <v>4.21</v>
      </c>
      <c r="G9" s="1"/>
      <c r="H9" s="9"/>
    </row>
    <row r="10" spans="1:8" x14ac:dyDescent="0.15">
      <c r="A10" s="8" t="s">
        <v>13</v>
      </c>
      <c r="B10" s="35">
        <v>35.909999999999997</v>
      </c>
      <c r="C10" s="1"/>
      <c r="D10" s="1"/>
      <c r="E10" s="1" t="s">
        <v>39</v>
      </c>
      <c r="F10" s="35">
        <v>4.21</v>
      </c>
      <c r="G10" s="1"/>
      <c r="H10" s="9"/>
    </row>
    <row r="11" spans="1:8" x14ac:dyDescent="0.15">
      <c r="A11" s="8" t="s">
        <v>14</v>
      </c>
      <c r="B11" s="35">
        <v>23.94</v>
      </c>
      <c r="C11" s="1"/>
      <c r="D11" s="1"/>
      <c r="E11" s="1" t="s">
        <v>38</v>
      </c>
      <c r="F11" s="35">
        <v>2.25</v>
      </c>
      <c r="G11" s="1"/>
      <c r="H11" s="9"/>
    </row>
    <row r="12" spans="1:8" x14ac:dyDescent="0.15">
      <c r="A12" s="8" t="s">
        <v>15</v>
      </c>
      <c r="B12" s="35">
        <v>17.97</v>
      </c>
      <c r="C12" s="1"/>
      <c r="D12" s="1"/>
      <c r="E12" s="1" t="s">
        <v>37</v>
      </c>
      <c r="F12" s="35">
        <v>2.25</v>
      </c>
      <c r="G12" s="1"/>
      <c r="H12" s="9"/>
    </row>
    <row r="13" spans="1:8" x14ac:dyDescent="0.15">
      <c r="A13" s="8" t="s">
        <v>16</v>
      </c>
      <c r="B13" s="35">
        <v>11.97</v>
      </c>
      <c r="C13" s="1"/>
      <c r="D13" s="1"/>
      <c r="E13" s="1" t="s">
        <v>36</v>
      </c>
      <c r="F13" s="35">
        <v>2.25</v>
      </c>
      <c r="G13" s="1"/>
      <c r="H13" s="9"/>
    </row>
    <row r="14" spans="1:8" x14ac:dyDescent="0.15">
      <c r="A14" s="8"/>
      <c r="B14" s="35"/>
      <c r="C14" s="1"/>
      <c r="D14" s="1"/>
      <c r="E14" s="45" t="s">
        <v>74</v>
      </c>
      <c r="F14" s="35">
        <v>8.8699999999999992</v>
      </c>
      <c r="G14" s="1"/>
      <c r="H14" s="9"/>
    </row>
    <row r="15" spans="1:8" x14ac:dyDescent="0.15">
      <c r="A15" s="8" t="s">
        <v>18</v>
      </c>
      <c r="B15" s="35">
        <v>5.34</v>
      </c>
      <c r="C15" s="1"/>
      <c r="D15" s="1"/>
      <c r="E15" s="1" t="s">
        <v>51</v>
      </c>
      <c r="F15" s="35">
        <v>5.6</v>
      </c>
      <c r="G15" s="1"/>
      <c r="H15" s="9"/>
    </row>
    <row r="16" spans="1:8" x14ac:dyDescent="0.15">
      <c r="A16" s="8" t="s">
        <v>19</v>
      </c>
      <c r="B16" s="35">
        <v>5.34</v>
      </c>
      <c r="C16" s="1"/>
      <c r="D16" s="1"/>
      <c r="E16" s="1" t="s">
        <v>52</v>
      </c>
      <c r="F16" s="35">
        <v>5.6</v>
      </c>
      <c r="G16" s="1"/>
      <c r="H16" s="9"/>
    </row>
    <row r="17" spans="1:8" x14ac:dyDescent="0.15">
      <c r="A17" s="8" t="s">
        <v>20</v>
      </c>
      <c r="B17" s="35">
        <v>5.34</v>
      </c>
      <c r="C17" s="1"/>
      <c r="D17" s="1"/>
      <c r="E17" s="1" t="s">
        <v>53</v>
      </c>
      <c r="F17" s="35">
        <v>5.6</v>
      </c>
      <c r="G17" s="1"/>
      <c r="H17" s="9"/>
    </row>
    <row r="18" spans="1:8" x14ac:dyDescent="0.15">
      <c r="A18" s="8" t="s">
        <v>21</v>
      </c>
      <c r="B18" s="35">
        <v>5.34</v>
      </c>
      <c r="C18" s="1"/>
      <c r="D18" s="1"/>
      <c r="E18" s="1" t="s">
        <v>54</v>
      </c>
      <c r="F18" s="35">
        <v>5.6</v>
      </c>
      <c r="G18" s="1"/>
      <c r="H18" s="9"/>
    </row>
    <row r="19" spans="1:8" x14ac:dyDescent="0.15">
      <c r="A19" s="8" t="s">
        <v>22</v>
      </c>
      <c r="B19" s="35">
        <v>5.34</v>
      </c>
      <c r="C19" s="1"/>
      <c r="D19" s="1"/>
      <c r="E19" s="1" t="s">
        <v>55</v>
      </c>
      <c r="F19" s="35">
        <v>5.6</v>
      </c>
      <c r="G19" s="1"/>
      <c r="H19" s="9"/>
    </row>
    <row r="20" spans="1:8" x14ac:dyDescent="0.15">
      <c r="A20" s="8" t="s">
        <v>23</v>
      </c>
      <c r="B20" s="35">
        <v>5.34</v>
      </c>
      <c r="C20" s="1"/>
      <c r="D20" s="1"/>
      <c r="E20" s="1" t="s">
        <v>56</v>
      </c>
      <c r="F20" s="35">
        <v>5.6</v>
      </c>
      <c r="G20" s="1"/>
      <c r="H20" s="9"/>
    </row>
    <row r="21" spans="1:8" x14ac:dyDescent="0.15">
      <c r="A21" s="8" t="s">
        <v>24</v>
      </c>
      <c r="B21" s="35">
        <v>5.34</v>
      </c>
      <c r="C21" s="1"/>
      <c r="D21" s="1"/>
      <c r="E21" s="1" t="s">
        <v>76</v>
      </c>
      <c r="F21" s="35">
        <v>4.8499999999999996</v>
      </c>
      <c r="G21" s="1"/>
      <c r="H21" s="9"/>
    </row>
    <row r="22" spans="1:8" x14ac:dyDescent="0.15">
      <c r="A22" s="8"/>
      <c r="B22" s="35"/>
      <c r="C22" s="1"/>
      <c r="D22" s="1"/>
      <c r="E22" s="1" t="s">
        <v>77</v>
      </c>
      <c r="F22" s="35">
        <v>9.6999999999999993</v>
      </c>
      <c r="G22" s="1"/>
      <c r="H22" s="9"/>
    </row>
    <row r="23" spans="1:8" x14ac:dyDescent="0.15">
      <c r="A23" s="8"/>
      <c r="B23" s="35"/>
      <c r="C23" s="1"/>
      <c r="D23" s="1"/>
      <c r="E23" s="1" t="s">
        <v>78</v>
      </c>
      <c r="F23" s="35">
        <v>14.43</v>
      </c>
      <c r="G23" s="1"/>
      <c r="H23" s="9"/>
    </row>
    <row r="24" spans="1:8" x14ac:dyDescent="0.15">
      <c r="A24" s="8"/>
      <c r="B24" s="35"/>
      <c r="C24" s="1"/>
      <c r="D24" s="1"/>
      <c r="E24" s="1" t="s">
        <v>79</v>
      </c>
      <c r="F24" s="35">
        <v>19.399999999999999</v>
      </c>
      <c r="G24" s="1"/>
      <c r="H24" s="9"/>
    </row>
    <row r="25" spans="1:8" x14ac:dyDescent="0.15">
      <c r="A25" s="8" t="s">
        <v>29</v>
      </c>
      <c r="B25" s="35">
        <v>5.34</v>
      </c>
      <c r="C25" s="1"/>
      <c r="D25" s="1"/>
      <c r="E25" s="1" t="s">
        <v>80</v>
      </c>
      <c r="F25" s="35">
        <v>24.25</v>
      </c>
      <c r="G25" s="1"/>
      <c r="H25" s="9"/>
    </row>
    <row r="26" spans="1:8" x14ac:dyDescent="0.15">
      <c r="A26" s="8" t="s">
        <v>25</v>
      </c>
      <c r="B26" s="35">
        <v>5.34</v>
      </c>
      <c r="C26" s="1"/>
      <c r="D26" s="1"/>
      <c r="E26" s="1" t="s">
        <v>81</v>
      </c>
      <c r="F26" s="35">
        <v>28.98</v>
      </c>
      <c r="G26" s="1"/>
      <c r="H26" s="9"/>
    </row>
    <row r="27" spans="1:8" x14ac:dyDescent="0.15">
      <c r="A27" s="8" t="s">
        <v>30</v>
      </c>
      <c r="B27" s="35">
        <v>3.51</v>
      </c>
      <c r="C27" s="1"/>
      <c r="D27" s="1"/>
      <c r="E27" s="1" t="s">
        <v>43</v>
      </c>
      <c r="F27" s="35">
        <v>5.6</v>
      </c>
      <c r="G27" s="1"/>
      <c r="H27" s="9"/>
    </row>
    <row r="28" spans="1:8" x14ac:dyDescent="0.15">
      <c r="A28" s="8" t="s">
        <v>44</v>
      </c>
      <c r="B28" s="35">
        <v>3.51</v>
      </c>
      <c r="C28" s="1"/>
      <c r="D28" s="1"/>
      <c r="E28" s="1" t="s">
        <v>75</v>
      </c>
      <c r="F28" s="35">
        <v>5.6</v>
      </c>
      <c r="G28" s="1"/>
      <c r="H28" s="9"/>
    </row>
    <row r="29" spans="1:8" x14ac:dyDescent="0.15">
      <c r="A29" s="8" t="s">
        <v>31</v>
      </c>
      <c r="B29" s="35">
        <v>6.4</v>
      </c>
      <c r="C29" s="1"/>
      <c r="D29" s="1"/>
      <c r="E29" s="1" t="s">
        <v>83</v>
      </c>
      <c r="F29" s="35">
        <v>45.17</v>
      </c>
      <c r="G29" s="1"/>
      <c r="H29" s="9"/>
    </row>
    <row r="30" spans="1:8" x14ac:dyDescent="0.15">
      <c r="A30" s="8" t="s">
        <v>32</v>
      </c>
      <c r="B30" s="35">
        <v>6.4</v>
      </c>
      <c r="C30" s="1"/>
      <c r="D30" s="1"/>
      <c r="E30" s="45" t="s">
        <v>84</v>
      </c>
      <c r="F30" s="35">
        <v>11.3</v>
      </c>
      <c r="G30" s="1"/>
      <c r="H30" s="9"/>
    </row>
    <row r="31" spans="1:8" x14ac:dyDescent="0.15">
      <c r="A31" s="8" t="s">
        <v>33</v>
      </c>
      <c r="B31" s="35">
        <v>6.4</v>
      </c>
      <c r="C31" s="1"/>
      <c r="D31" s="1"/>
      <c r="E31" s="1" t="s">
        <v>63</v>
      </c>
      <c r="F31" s="35">
        <v>3.51</v>
      </c>
      <c r="G31" s="1"/>
      <c r="H31" s="9"/>
    </row>
    <row r="32" spans="1:8" x14ac:dyDescent="0.15">
      <c r="A32" s="8" t="s">
        <v>34</v>
      </c>
      <c r="B32" s="35">
        <v>6.4</v>
      </c>
      <c r="C32" s="1"/>
      <c r="D32" s="1"/>
      <c r="E32" s="1" t="s">
        <v>64</v>
      </c>
      <c r="F32" s="35">
        <v>3.51</v>
      </c>
      <c r="G32" s="1"/>
      <c r="H32" s="9"/>
    </row>
    <row r="33" spans="1:8" x14ac:dyDescent="0.15">
      <c r="A33" s="8" t="s">
        <v>35</v>
      </c>
      <c r="B33" s="35">
        <v>6.4</v>
      </c>
      <c r="C33" s="1"/>
      <c r="D33" s="1"/>
      <c r="E33" s="1" t="s">
        <v>65</v>
      </c>
      <c r="F33" s="35">
        <v>3.51</v>
      </c>
      <c r="G33" s="1"/>
      <c r="H33" s="9"/>
    </row>
    <row r="34" spans="1:8" x14ac:dyDescent="0.15">
      <c r="A34" s="8" t="s">
        <v>46</v>
      </c>
      <c r="B34" s="35">
        <v>5.53</v>
      </c>
      <c r="C34" s="1"/>
      <c r="D34" s="1"/>
      <c r="E34" s="1" t="s">
        <v>66</v>
      </c>
      <c r="F34" s="35">
        <v>3.51</v>
      </c>
      <c r="G34" s="1"/>
      <c r="H34" s="9"/>
    </row>
    <row r="35" spans="1:8" x14ac:dyDescent="0.15">
      <c r="A35" s="8" t="s">
        <v>47</v>
      </c>
      <c r="B35" s="35">
        <v>5.53</v>
      </c>
      <c r="C35" s="1"/>
      <c r="D35" s="1"/>
      <c r="E35" s="1" t="s">
        <v>67</v>
      </c>
      <c r="F35" s="35">
        <v>3.51</v>
      </c>
      <c r="G35" s="1"/>
      <c r="H35" s="9"/>
    </row>
    <row r="36" spans="1:8" x14ac:dyDescent="0.15">
      <c r="A36" s="8" t="s">
        <v>48</v>
      </c>
      <c r="B36" s="35">
        <v>5.53</v>
      </c>
      <c r="C36" s="1"/>
      <c r="D36" s="1"/>
      <c r="E36" s="1" t="s">
        <v>68</v>
      </c>
      <c r="F36" s="35">
        <v>3.51</v>
      </c>
      <c r="G36" s="1"/>
      <c r="H36" s="9"/>
    </row>
    <row r="37" spans="1:8" x14ac:dyDescent="0.15">
      <c r="A37" s="8" t="s">
        <v>49</v>
      </c>
      <c r="B37" s="35">
        <v>5.53</v>
      </c>
      <c r="C37" s="1"/>
      <c r="D37" s="1"/>
      <c r="E37" s="1" t="s">
        <v>86</v>
      </c>
      <c r="F37" s="35">
        <v>7.22</v>
      </c>
      <c r="G37" s="1"/>
      <c r="H37" s="9"/>
    </row>
    <row r="38" spans="1:8" x14ac:dyDescent="0.15">
      <c r="A38" s="8" t="s">
        <v>50</v>
      </c>
      <c r="B38" s="35">
        <v>5.53</v>
      </c>
      <c r="C38" s="1"/>
      <c r="D38" s="1"/>
      <c r="E38" s="1" t="s">
        <v>69</v>
      </c>
      <c r="F38" s="35">
        <v>9.0399999999999991</v>
      </c>
      <c r="G38" s="1"/>
      <c r="H38" s="9"/>
    </row>
    <row r="39" spans="1:8" x14ac:dyDescent="0.15">
      <c r="A39" s="8"/>
      <c r="B39" s="1"/>
      <c r="C39" s="1"/>
      <c r="D39" s="1"/>
      <c r="E39" s="53" t="s">
        <v>72</v>
      </c>
      <c r="F39" s="35">
        <v>1.56</v>
      </c>
      <c r="G39" s="1"/>
      <c r="H39" s="9"/>
    </row>
    <row r="40" spans="1:8" x14ac:dyDescent="0.15">
      <c r="A40" s="8"/>
      <c r="B40" s="1"/>
      <c r="C40" s="1"/>
      <c r="D40" s="1"/>
      <c r="E40" s="53" t="s">
        <v>73</v>
      </c>
      <c r="F40" s="35">
        <v>15.05</v>
      </c>
      <c r="G40" s="1"/>
      <c r="H40" s="9"/>
    </row>
    <row r="41" spans="1:8" x14ac:dyDescent="0.15">
      <c r="A41" s="8"/>
      <c r="B41" s="1"/>
      <c r="C41" s="1"/>
      <c r="D41" s="1"/>
      <c r="E41" s="53" t="s">
        <v>92</v>
      </c>
      <c r="F41" s="35">
        <v>5</v>
      </c>
      <c r="G41" s="1"/>
      <c r="H41" s="9"/>
    </row>
    <row r="42" spans="1:8" x14ac:dyDescent="0.15">
      <c r="A42" s="8"/>
      <c r="B42" s="1"/>
      <c r="C42" s="1"/>
      <c r="D42" s="1"/>
      <c r="E42" s="53" t="s">
        <v>71</v>
      </c>
      <c r="F42" s="35">
        <f>('2019'!B49*Faktor!$B$8)+'2019'!B49</f>
        <v>8.7411689799999994</v>
      </c>
      <c r="G42" s="1"/>
      <c r="H42" s="9"/>
    </row>
    <row r="43" spans="1:8" x14ac:dyDescent="0.15">
      <c r="A43" s="8"/>
      <c r="B43" s="1"/>
      <c r="C43" s="1"/>
      <c r="D43" s="1"/>
      <c r="E43" s="54" t="s">
        <v>85</v>
      </c>
      <c r="F43" s="35">
        <v>3.98</v>
      </c>
      <c r="G43" s="1"/>
      <c r="H43" s="9"/>
    </row>
    <row r="44" spans="1:8" x14ac:dyDescent="0.15">
      <c r="A44" s="8"/>
      <c r="B44" s="1"/>
      <c r="C44" s="1"/>
      <c r="D44" s="1"/>
      <c r="E44" s="53"/>
      <c r="F44" s="35"/>
      <c r="G44" s="1"/>
      <c r="H44" s="9"/>
    </row>
    <row r="45" spans="1:8" ht="13.5" thickBot="1" x14ac:dyDescent="0.2">
      <c r="A45" s="58"/>
      <c r="B45" s="26"/>
      <c r="C45" s="26"/>
      <c r="D45" s="26"/>
      <c r="E45" s="55"/>
      <c r="F45" s="50"/>
      <c r="G45" s="26"/>
      <c r="H45" s="36"/>
    </row>
    <row r="46" spans="1:8" x14ac:dyDescent="0.15">
      <c r="A46" s="60" t="s">
        <v>94</v>
      </c>
      <c r="B46" s="61"/>
      <c r="C46" s="62"/>
      <c r="D46" s="63"/>
      <c r="E46" s="56" t="s">
        <v>57</v>
      </c>
      <c r="F46" s="51"/>
      <c r="G46" s="27"/>
      <c r="H46" s="28"/>
    </row>
    <row r="47" spans="1:8" x14ac:dyDescent="0.15">
      <c r="A47" s="64"/>
      <c r="B47" s="59"/>
      <c r="C47" s="52"/>
      <c r="D47" s="65"/>
      <c r="E47" s="53" t="s">
        <v>58</v>
      </c>
      <c r="F47" s="35"/>
      <c r="G47" s="1"/>
      <c r="H47" s="9"/>
    </row>
    <row r="48" spans="1:8" x14ac:dyDescent="0.15">
      <c r="A48" s="64"/>
      <c r="B48" s="59"/>
      <c r="C48" s="52"/>
      <c r="D48" s="65"/>
      <c r="E48" s="53" t="s">
        <v>59</v>
      </c>
      <c r="F48" s="35">
        <v>3.02</v>
      </c>
      <c r="G48" s="1"/>
      <c r="H48" s="9"/>
    </row>
    <row r="49" spans="1:8" x14ac:dyDescent="0.15">
      <c r="A49" s="64"/>
      <c r="B49" s="52"/>
      <c r="C49" s="52"/>
      <c r="D49" s="65"/>
      <c r="E49" s="53" t="s">
        <v>60</v>
      </c>
      <c r="F49" s="35"/>
      <c r="G49" s="1"/>
      <c r="H49" s="9"/>
    </row>
    <row r="50" spans="1:8" x14ac:dyDescent="0.15">
      <c r="A50" s="64"/>
      <c r="B50" s="52"/>
      <c r="C50" s="52"/>
      <c r="D50" s="65"/>
      <c r="E50" s="53" t="s">
        <v>82</v>
      </c>
      <c r="F50" s="35">
        <v>63.05</v>
      </c>
      <c r="G50" s="1"/>
      <c r="H50" s="9"/>
    </row>
    <row r="51" spans="1:8" x14ac:dyDescent="0.15">
      <c r="A51" s="64"/>
      <c r="B51" s="59"/>
      <c r="C51" s="52"/>
      <c r="D51" s="65"/>
      <c r="E51" s="53" t="s">
        <v>96</v>
      </c>
      <c r="F51" s="35">
        <v>6.66</v>
      </c>
      <c r="G51" s="1"/>
      <c r="H51" s="9"/>
    </row>
    <row r="52" spans="1:8" x14ac:dyDescent="0.15">
      <c r="A52" s="64"/>
      <c r="B52" s="59"/>
      <c r="C52" s="52"/>
      <c r="D52" s="65"/>
      <c r="E52" s="53"/>
      <c r="F52" s="35"/>
      <c r="G52" s="1"/>
      <c r="H52" s="9"/>
    </row>
    <row r="53" spans="1:8" x14ac:dyDescent="0.15">
      <c r="A53" s="64"/>
      <c r="B53" s="59"/>
      <c r="C53" s="52"/>
      <c r="D53" s="65"/>
      <c r="E53" s="53"/>
      <c r="F53" s="35"/>
      <c r="G53" s="1"/>
      <c r="H53" s="9"/>
    </row>
    <row r="54" spans="1:8" x14ac:dyDescent="0.15">
      <c r="A54" s="64"/>
      <c r="B54" s="52"/>
      <c r="C54" s="52"/>
      <c r="D54" s="65"/>
      <c r="E54" s="53"/>
      <c r="F54" s="52"/>
      <c r="G54" s="1"/>
      <c r="H54" s="9"/>
    </row>
    <row r="55" spans="1:8" x14ac:dyDescent="0.15">
      <c r="A55" s="66"/>
      <c r="B55" s="59"/>
      <c r="C55" s="52"/>
      <c r="D55" s="65"/>
      <c r="E55" s="53" t="s">
        <v>61</v>
      </c>
      <c r="F55" s="35">
        <v>1.86</v>
      </c>
      <c r="G55" s="1"/>
      <c r="H55" s="9"/>
    </row>
    <row r="56" spans="1:8" x14ac:dyDescent="0.15">
      <c r="A56" s="66"/>
      <c r="B56" s="59"/>
      <c r="C56" s="52"/>
      <c r="D56" s="65"/>
      <c r="E56" s="53" t="s">
        <v>93</v>
      </c>
      <c r="F56" s="35">
        <v>9.5399999999999991</v>
      </c>
      <c r="G56" s="1"/>
      <c r="H56" s="9"/>
    </row>
    <row r="57" spans="1:8" x14ac:dyDescent="0.15">
      <c r="A57" s="64"/>
      <c r="B57" s="59"/>
      <c r="C57" s="52"/>
      <c r="D57" s="65"/>
      <c r="E57" s="53" t="s">
        <v>4</v>
      </c>
      <c r="F57" s="35"/>
      <c r="G57" s="1"/>
      <c r="H57" s="9"/>
    </row>
    <row r="58" spans="1:8" ht="13.5" thickBot="1" x14ac:dyDescent="0.2">
      <c r="A58" s="67"/>
      <c r="B58" s="68"/>
      <c r="C58" s="69"/>
      <c r="D58" s="70"/>
      <c r="E58" s="57" t="s">
        <v>62</v>
      </c>
      <c r="F58" s="39"/>
      <c r="G58" s="12"/>
      <c r="H58" s="13"/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FB52-BF66-486F-83B4-81C4C78BB094}">
  <dimension ref="A1:H58"/>
  <sheetViews>
    <sheetView zoomScale="140" zoomScaleNormal="140" workbookViewId="0">
      <selection activeCell="M35" sqref="M35"/>
    </sheetView>
  </sheetViews>
  <sheetFormatPr defaultColWidth="8.8984375" defaultRowHeight="12.75" x14ac:dyDescent="0.15"/>
  <sheetData>
    <row r="1" spans="1:8" ht="18.75" thickBot="1" x14ac:dyDescent="0.25">
      <c r="A1" s="139" t="s">
        <v>97</v>
      </c>
      <c r="B1" s="140"/>
      <c r="C1" s="140"/>
      <c r="D1" s="140"/>
      <c r="E1" s="140"/>
      <c r="F1" s="140"/>
      <c r="G1" s="140"/>
      <c r="H1" s="142"/>
    </row>
    <row r="2" spans="1:8" x14ac:dyDescent="0.15">
      <c r="A2" s="21" t="s">
        <v>0</v>
      </c>
      <c r="B2" s="22"/>
      <c r="C2" s="23"/>
      <c r="D2" s="23"/>
      <c r="E2" s="74" t="s">
        <v>8</v>
      </c>
      <c r="F2" s="23"/>
      <c r="G2" s="23"/>
      <c r="H2" s="25"/>
    </row>
    <row r="3" spans="1:8" x14ac:dyDescent="0.15">
      <c r="A3" s="21" t="s">
        <v>1</v>
      </c>
      <c r="B3" s="75"/>
      <c r="C3" s="23"/>
      <c r="D3" s="23"/>
      <c r="E3" s="74" t="s">
        <v>9</v>
      </c>
      <c r="F3" s="23"/>
      <c r="G3" s="23"/>
      <c r="H3" s="25"/>
    </row>
    <row r="4" spans="1:8" x14ac:dyDescent="0.15">
      <c r="A4" s="21" t="s">
        <v>2</v>
      </c>
      <c r="B4" s="75"/>
      <c r="C4" s="23"/>
      <c r="D4" s="23"/>
      <c r="E4" s="74" t="s">
        <v>10</v>
      </c>
      <c r="F4" s="23"/>
      <c r="G4" s="23"/>
      <c r="H4" s="25"/>
    </row>
    <row r="5" spans="1:8" x14ac:dyDescent="0.15">
      <c r="A5" s="21" t="s">
        <v>95</v>
      </c>
      <c r="B5" s="22"/>
      <c r="C5" s="23"/>
      <c r="D5" s="76"/>
      <c r="E5" s="74"/>
      <c r="F5" s="23"/>
      <c r="G5" s="23"/>
      <c r="H5" s="25"/>
    </row>
    <row r="6" spans="1:8" ht="13.5" thickBot="1" x14ac:dyDescent="0.2">
      <c r="A6" s="77" t="s">
        <v>11</v>
      </c>
      <c r="B6" s="78"/>
      <c r="C6" s="69"/>
      <c r="D6" s="69"/>
      <c r="E6" s="79"/>
      <c r="F6" s="69"/>
      <c r="G6" s="69"/>
      <c r="H6" s="70"/>
    </row>
    <row r="7" spans="1:8" x14ac:dyDescent="0.15">
      <c r="A7" s="80"/>
      <c r="B7" s="81" t="s">
        <v>5</v>
      </c>
      <c r="C7" s="81" t="s">
        <v>6</v>
      </c>
      <c r="D7" s="81" t="s">
        <v>7</v>
      </c>
      <c r="E7" s="82"/>
      <c r="F7" s="81" t="s">
        <v>5</v>
      </c>
      <c r="G7" s="81" t="s">
        <v>6</v>
      </c>
      <c r="H7" s="83" t="s">
        <v>7</v>
      </c>
    </row>
    <row r="8" spans="1:8" x14ac:dyDescent="0.15">
      <c r="A8" s="80" t="s">
        <v>12</v>
      </c>
      <c r="B8" s="84">
        <v>2.36</v>
      </c>
      <c r="C8" s="82"/>
      <c r="D8" s="82"/>
      <c r="E8" s="82" t="s">
        <v>41</v>
      </c>
      <c r="F8" s="84">
        <v>4.21</v>
      </c>
      <c r="G8" s="82"/>
      <c r="H8" s="25"/>
    </row>
    <row r="9" spans="1:8" x14ac:dyDescent="0.15">
      <c r="A9" s="80" t="s">
        <v>45</v>
      </c>
      <c r="B9" s="84">
        <v>5.84</v>
      </c>
      <c r="C9" s="82"/>
      <c r="D9" s="82"/>
      <c r="E9" s="82" t="s">
        <v>40</v>
      </c>
      <c r="F9" s="84">
        <v>4.21</v>
      </c>
      <c r="G9" s="82"/>
      <c r="H9" s="25"/>
    </row>
    <row r="10" spans="1:8" x14ac:dyDescent="0.15">
      <c r="A10" s="80" t="s">
        <v>13</v>
      </c>
      <c r="B10" s="84">
        <v>35.909999999999997</v>
      </c>
      <c r="C10" s="82"/>
      <c r="D10" s="82"/>
      <c r="E10" s="82" t="s">
        <v>39</v>
      </c>
      <c r="F10" s="84">
        <v>4.21</v>
      </c>
      <c r="G10" s="82"/>
      <c r="H10" s="25"/>
    </row>
    <row r="11" spans="1:8" x14ac:dyDescent="0.15">
      <c r="A11" s="80" t="s">
        <v>14</v>
      </c>
      <c r="B11" s="84">
        <v>23.94</v>
      </c>
      <c r="C11" s="82"/>
      <c r="D11" s="82"/>
      <c r="E11" s="82" t="s">
        <v>38</v>
      </c>
      <c r="F11" s="84">
        <v>2.25</v>
      </c>
      <c r="G11" s="82"/>
      <c r="H11" s="25"/>
    </row>
    <row r="12" spans="1:8" x14ac:dyDescent="0.15">
      <c r="A12" s="80" t="s">
        <v>15</v>
      </c>
      <c r="B12" s="84">
        <v>17.97</v>
      </c>
      <c r="C12" s="82"/>
      <c r="D12" s="82"/>
      <c r="E12" s="82" t="s">
        <v>37</v>
      </c>
      <c r="F12" s="84">
        <v>2.25</v>
      </c>
      <c r="G12" s="82"/>
      <c r="H12" s="25"/>
    </row>
    <row r="13" spans="1:8" x14ac:dyDescent="0.15">
      <c r="A13" s="80" t="s">
        <v>16</v>
      </c>
      <c r="B13" s="84">
        <v>11.97</v>
      </c>
      <c r="C13" s="82"/>
      <c r="D13" s="82"/>
      <c r="E13" s="82" t="s">
        <v>36</v>
      </c>
      <c r="F13" s="84">
        <v>2.25</v>
      </c>
      <c r="G13" s="82"/>
      <c r="H13" s="25"/>
    </row>
    <row r="14" spans="1:8" x14ac:dyDescent="0.15">
      <c r="A14" s="80"/>
      <c r="B14" s="84"/>
      <c r="C14" s="82"/>
      <c r="D14" s="82"/>
      <c r="E14" s="85" t="s">
        <v>74</v>
      </c>
      <c r="F14" s="84">
        <v>8.8699999999999992</v>
      </c>
      <c r="G14" s="82"/>
      <c r="H14" s="25"/>
    </row>
    <row r="15" spans="1:8" x14ac:dyDescent="0.15">
      <c r="A15" s="80" t="s">
        <v>18</v>
      </c>
      <c r="B15" s="84">
        <v>5.34</v>
      </c>
      <c r="C15" s="82"/>
      <c r="D15" s="82"/>
      <c r="E15" s="82" t="s">
        <v>51</v>
      </c>
      <c r="F15" s="84">
        <v>5.6</v>
      </c>
      <c r="G15" s="82"/>
      <c r="H15" s="25"/>
    </row>
    <row r="16" spans="1:8" x14ac:dyDescent="0.15">
      <c r="A16" s="80" t="s">
        <v>19</v>
      </c>
      <c r="B16" s="84">
        <v>5.34</v>
      </c>
      <c r="C16" s="82"/>
      <c r="D16" s="82"/>
      <c r="E16" s="82" t="s">
        <v>52</v>
      </c>
      <c r="F16" s="84">
        <v>5.6</v>
      </c>
      <c r="G16" s="82"/>
      <c r="H16" s="25"/>
    </row>
    <row r="17" spans="1:8" x14ac:dyDescent="0.15">
      <c r="A17" s="80" t="s">
        <v>20</v>
      </c>
      <c r="B17" s="84">
        <v>5.34</v>
      </c>
      <c r="C17" s="82"/>
      <c r="D17" s="82"/>
      <c r="E17" s="82" t="s">
        <v>53</v>
      </c>
      <c r="F17" s="84">
        <v>5.6</v>
      </c>
      <c r="G17" s="82"/>
      <c r="H17" s="25"/>
    </row>
    <row r="18" spans="1:8" x14ac:dyDescent="0.15">
      <c r="A18" s="80" t="s">
        <v>21</v>
      </c>
      <c r="B18" s="84">
        <v>5.34</v>
      </c>
      <c r="C18" s="82"/>
      <c r="D18" s="82"/>
      <c r="E18" s="82" t="s">
        <v>54</v>
      </c>
      <c r="F18" s="84">
        <v>5.6</v>
      </c>
      <c r="G18" s="82"/>
      <c r="H18" s="25"/>
    </row>
    <row r="19" spans="1:8" x14ac:dyDescent="0.15">
      <c r="A19" s="80" t="s">
        <v>22</v>
      </c>
      <c r="B19" s="84">
        <v>5.34</v>
      </c>
      <c r="C19" s="82"/>
      <c r="D19" s="82"/>
      <c r="E19" s="82" t="s">
        <v>55</v>
      </c>
      <c r="F19" s="84">
        <v>5.6</v>
      </c>
      <c r="G19" s="82"/>
      <c r="H19" s="25"/>
    </row>
    <row r="20" spans="1:8" x14ac:dyDescent="0.15">
      <c r="A20" s="80" t="s">
        <v>23</v>
      </c>
      <c r="B20" s="84">
        <v>5.34</v>
      </c>
      <c r="C20" s="82"/>
      <c r="D20" s="82"/>
      <c r="E20" s="82" t="s">
        <v>56</v>
      </c>
      <c r="F20" s="84">
        <v>5.6</v>
      </c>
      <c r="G20" s="82"/>
      <c r="H20" s="25"/>
    </row>
    <row r="21" spans="1:8" x14ac:dyDescent="0.15">
      <c r="A21" s="80" t="s">
        <v>24</v>
      </c>
      <c r="B21" s="84">
        <v>5.34</v>
      </c>
      <c r="C21" s="82"/>
      <c r="D21" s="82"/>
      <c r="E21" s="82" t="s">
        <v>76</v>
      </c>
      <c r="F21" s="84">
        <v>4.8499999999999996</v>
      </c>
      <c r="G21" s="82"/>
      <c r="H21" s="25"/>
    </row>
    <row r="22" spans="1:8" x14ac:dyDescent="0.15">
      <c r="A22" s="80"/>
      <c r="B22" s="84"/>
      <c r="C22" s="82"/>
      <c r="D22" s="82"/>
      <c r="E22" s="82" t="s">
        <v>77</v>
      </c>
      <c r="F22" s="84">
        <v>9.6999999999999993</v>
      </c>
      <c r="G22" s="82"/>
      <c r="H22" s="25"/>
    </row>
    <row r="23" spans="1:8" x14ac:dyDescent="0.15">
      <c r="A23" s="80"/>
      <c r="B23" s="84"/>
      <c r="C23" s="82"/>
      <c r="D23" s="82"/>
      <c r="E23" s="82" t="s">
        <v>78</v>
      </c>
      <c r="F23" s="84">
        <v>14.43</v>
      </c>
      <c r="G23" s="82"/>
      <c r="H23" s="25"/>
    </row>
    <row r="24" spans="1:8" x14ac:dyDescent="0.15">
      <c r="A24" s="80"/>
      <c r="B24" s="84"/>
      <c r="C24" s="82"/>
      <c r="D24" s="82"/>
      <c r="E24" s="82" t="s">
        <v>79</v>
      </c>
      <c r="F24" s="84">
        <v>19.399999999999999</v>
      </c>
      <c r="G24" s="82"/>
      <c r="H24" s="25"/>
    </row>
    <row r="25" spans="1:8" x14ac:dyDescent="0.15">
      <c r="A25" s="80" t="s">
        <v>29</v>
      </c>
      <c r="B25" s="84">
        <v>5.34</v>
      </c>
      <c r="C25" s="82"/>
      <c r="D25" s="82"/>
      <c r="E25" s="82" t="s">
        <v>80</v>
      </c>
      <c r="F25" s="84">
        <v>24.25</v>
      </c>
      <c r="G25" s="82"/>
      <c r="H25" s="25"/>
    </row>
    <row r="26" spans="1:8" x14ac:dyDescent="0.15">
      <c r="A26" s="80" t="s">
        <v>25</v>
      </c>
      <c r="B26" s="84">
        <v>5.34</v>
      </c>
      <c r="C26" s="82"/>
      <c r="D26" s="82"/>
      <c r="E26" s="82" t="s">
        <v>81</v>
      </c>
      <c r="F26" s="84">
        <v>28.98</v>
      </c>
      <c r="G26" s="82"/>
      <c r="H26" s="25"/>
    </row>
    <row r="27" spans="1:8" x14ac:dyDescent="0.15">
      <c r="A27" s="80" t="s">
        <v>30</v>
      </c>
      <c r="B27" s="84">
        <v>3.51</v>
      </c>
      <c r="C27" s="82"/>
      <c r="D27" s="82"/>
      <c r="E27" s="82" t="s">
        <v>43</v>
      </c>
      <c r="F27" s="84">
        <v>5.6</v>
      </c>
      <c r="G27" s="82"/>
      <c r="H27" s="25"/>
    </row>
    <row r="28" spans="1:8" x14ac:dyDescent="0.15">
      <c r="A28" s="80" t="s">
        <v>44</v>
      </c>
      <c r="B28" s="84">
        <v>3.51</v>
      </c>
      <c r="C28" s="82"/>
      <c r="D28" s="82"/>
      <c r="E28" s="82" t="s">
        <v>75</v>
      </c>
      <c r="F28" s="84">
        <v>5.6</v>
      </c>
      <c r="G28" s="82"/>
      <c r="H28" s="25"/>
    </row>
    <row r="29" spans="1:8" x14ac:dyDescent="0.15">
      <c r="A29" s="80" t="s">
        <v>31</v>
      </c>
      <c r="B29" s="84">
        <v>6.4</v>
      </c>
      <c r="C29" s="82"/>
      <c r="D29" s="82"/>
      <c r="E29" s="82" t="s">
        <v>83</v>
      </c>
      <c r="F29" s="84">
        <v>45.17</v>
      </c>
      <c r="G29" s="82"/>
      <c r="H29" s="25"/>
    </row>
    <row r="30" spans="1:8" x14ac:dyDescent="0.15">
      <c r="A30" s="80" t="s">
        <v>32</v>
      </c>
      <c r="B30" s="84">
        <v>6.4</v>
      </c>
      <c r="C30" s="82"/>
      <c r="D30" s="82"/>
      <c r="E30" s="85" t="s">
        <v>84</v>
      </c>
      <c r="F30" s="84">
        <v>11.3</v>
      </c>
      <c r="G30" s="82"/>
      <c r="H30" s="25"/>
    </row>
    <row r="31" spans="1:8" x14ac:dyDescent="0.15">
      <c r="A31" s="80" t="s">
        <v>33</v>
      </c>
      <c r="B31" s="84">
        <v>6.4</v>
      </c>
      <c r="C31" s="82"/>
      <c r="D31" s="82"/>
      <c r="E31" s="82" t="s">
        <v>63</v>
      </c>
      <c r="F31" s="84">
        <v>3.51</v>
      </c>
      <c r="G31" s="82"/>
      <c r="H31" s="25"/>
    </row>
    <row r="32" spans="1:8" x14ac:dyDescent="0.15">
      <c r="A32" s="80" t="s">
        <v>34</v>
      </c>
      <c r="B32" s="84">
        <v>6.4</v>
      </c>
      <c r="C32" s="82"/>
      <c r="D32" s="82"/>
      <c r="E32" s="82" t="s">
        <v>64</v>
      </c>
      <c r="F32" s="84">
        <v>3.51</v>
      </c>
      <c r="G32" s="82"/>
      <c r="H32" s="25"/>
    </row>
    <row r="33" spans="1:8" x14ac:dyDescent="0.15">
      <c r="A33" s="80" t="s">
        <v>35</v>
      </c>
      <c r="B33" s="84">
        <v>6.4</v>
      </c>
      <c r="C33" s="82"/>
      <c r="D33" s="82"/>
      <c r="E33" s="82" t="s">
        <v>65</v>
      </c>
      <c r="F33" s="84">
        <v>3.51</v>
      </c>
      <c r="G33" s="82"/>
      <c r="H33" s="25"/>
    </row>
    <row r="34" spans="1:8" x14ac:dyDescent="0.15">
      <c r="A34" s="80" t="s">
        <v>46</v>
      </c>
      <c r="B34" s="84">
        <v>5.53</v>
      </c>
      <c r="C34" s="82"/>
      <c r="D34" s="82"/>
      <c r="E34" s="82" t="s">
        <v>66</v>
      </c>
      <c r="F34" s="84">
        <v>3.51</v>
      </c>
      <c r="G34" s="82"/>
      <c r="H34" s="25"/>
    </row>
    <row r="35" spans="1:8" x14ac:dyDescent="0.15">
      <c r="A35" s="80" t="s">
        <v>47</v>
      </c>
      <c r="B35" s="84">
        <v>5.53</v>
      </c>
      <c r="C35" s="82"/>
      <c r="D35" s="82"/>
      <c r="E35" s="82" t="s">
        <v>67</v>
      </c>
      <c r="F35" s="84">
        <v>3.51</v>
      </c>
      <c r="G35" s="82"/>
      <c r="H35" s="25"/>
    </row>
    <row r="36" spans="1:8" x14ac:dyDescent="0.15">
      <c r="A36" s="80" t="s">
        <v>48</v>
      </c>
      <c r="B36" s="84">
        <v>5.53</v>
      </c>
      <c r="C36" s="82"/>
      <c r="D36" s="82"/>
      <c r="E36" s="82" t="s">
        <v>68</v>
      </c>
      <c r="F36" s="84">
        <v>3.51</v>
      </c>
      <c r="G36" s="82"/>
      <c r="H36" s="25"/>
    </row>
    <row r="37" spans="1:8" x14ac:dyDescent="0.15">
      <c r="A37" s="80" t="s">
        <v>49</v>
      </c>
      <c r="B37" s="84">
        <v>5.53</v>
      </c>
      <c r="C37" s="82"/>
      <c r="D37" s="82"/>
      <c r="E37" s="82" t="s">
        <v>86</v>
      </c>
      <c r="F37" s="84">
        <v>7.22</v>
      </c>
      <c r="G37" s="82"/>
      <c r="H37" s="25"/>
    </row>
    <row r="38" spans="1:8" x14ac:dyDescent="0.15">
      <c r="A38" s="80" t="s">
        <v>50</v>
      </c>
      <c r="B38" s="84">
        <v>5.53</v>
      </c>
      <c r="C38" s="82"/>
      <c r="D38" s="82"/>
      <c r="E38" s="82" t="s">
        <v>69</v>
      </c>
      <c r="F38" s="84">
        <v>9.0399999999999991</v>
      </c>
      <c r="G38" s="82"/>
      <c r="H38" s="25"/>
    </row>
    <row r="39" spans="1:8" x14ac:dyDescent="0.15">
      <c r="A39" s="80"/>
      <c r="B39" s="82"/>
      <c r="C39" s="82"/>
      <c r="D39" s="82"/>
      <c r="E39" s="82" t="s">
        <v>72</v>
      </c>
      <c r="F39" s="84">
        <v>1.56</v>
      </c>
      <c r="G39" s="82"/>
      <c r="H39" s="25"/>
    </row>
    <row r="40" spans="1:8" x14ac:dyDescent="0.15">
      <c r="A40" s="80"/>
      <c r="B40" s="82"/>
      <c r="C40" s="82"/>
      <c r="D40" s="82"/>
      <c r="E40" s="82" t="s">
        <v>73</v>
      </c>
      <c r="F40" s="84">
        <v>15.05</v>
      </c>
      <c r="G40" s="82"/>
      <c r="H40" s="25"/>
    </row>
    <row r="41" spans="1:8" x14ac:dyDescent="0.15">
      <c r="A41" s="80"/>
      <c r="B41" s="82"/>
      <c r="C41" s="82"/>
      <c r="D41" s="82"/>
      <c r="E41" s="82" t="s">
        <v>92</v>
      </c>
      <c r="F41" s="84">
        <v>5</v>
      </c>
      <c r="G41" s="82"/>
      <c r="H41" s="25"/>
    </row>
    <row r="42" spans="1:8" x14ac:dyDescent="0.15">
      <c r="A42" s="80"/>
      <c r="B42" s="82"/>
      <c r="C42" s="82"/>
      <c r="D42" s="82"/>
      <c r="E42" s="82" t="s">
        <v>71</v>
      </c>
      <c r="F42" s="84">
        <v>8.74</v>
      </c>
      <c r="G42" s="82"/>
      <c r="H42" s="25"/>
    </row>
    <row r="43" spans="1:8" x14ac:dyDescent="0.15">
      <c r="A43" s="80"/>
      <c r="B43" s="82"/>
      <c r="C43" s="82"/>
      <c r="D43" s="82"/>
      <c r="E43" s="85" t="s">
        <v>85</v>
      </c>
      <c r="F43" s="84">
        <v>3.98</v>
      </c>
      <c r="G43" s="82"/>
      <c r="H43" s="25"/>
    </row>
    <row r="44" spans="1:8" x14ac:dyDescent="0.15">
      <c r="A44" s="80"/>
      <c r="B44" s="82"/>
      <c r="C44" s="82"/>
      <c r="D44" s="82"/>
      <c r="E44" s="82"/>
      <c r="F44" s="84"/>
      <c r="G44" s="82"/>
      <c r="H44" s="25"/>
    </row>
    <row r="45" spans="1:8" ht="13.5" thickBot="1" x14ac:dyDescent="0.2">
      <c r="A45" s="86"/>
      <c r="B45" s="87"/>
      <c r="C45" s="87"/>
      <c r="D45" s="87"/>
      <c r="E45" s="87"/>
      <c r="F45" s="88"/>
      <c r="G45" s="87"/>
      <c r="H45" s="65"/>
    </row>
    <row r="46" spans="1:8" x14ac:dyDescent="0.15">
      <c r="A46" s="60" t="s">
        <v>94</v>
      </c>
      <c r="B46" s="61"/>
      <c r="C46" s="62"/>
      <c r="D46" s="63"/>
      <c r="E46" s="56" t="s">
        <v>57</v>
      </c>
      <c r="F46" s="89"/>
      <c r="G46" s="56"/>
      <c r="H46" s="90"/>
    </row>
    <row r="47" spans="1:8" x14ac:dyDescent="0.15">
      <c r="A47" s="64"/>
      <c r="B47" s="91"/>
      <c r="D47" s="65"/>
      <c r="E47" s="82" t="s">
        <v>58</v>
      </c>
      <c r="F47" s="84"/>
      <c r="G47" s="82"/>
      <c r="H47" s="25"/>
    </row>
    <row r="48" spans="1:8" x14ac:dyDescent="0.15">
      <c r="A48" s="64"/>
      <c r="B48" s="91"/>
      <c r="D48" s="65"/>
      <c r="E48" s="82" t="s">
        <v>59</v>
      </c>
      <c r="F48" s="84">
        <v>3.02</v>
      </c>
      <c r="G48" s="82"/>
      <c r="H48" s="25"/>
    </row>
    <row r="49" spans="1:8" x14ac:dyDescent="0.15">
      <c r="A49" s="64"/>
      <c r="D49" s="65"/>
      <c r="E49" s="82" t="s">
        <v>60</v>
      </c>
      <c r="F49" s="84"/>
      <c r="G49" s="82"/>
      <c r="H49" s="25"/>
    </row>
    <row r="50" spans="1:8" x14ac:dyDescent="0.15">
      <c r="A50" s="64"/>
      <c r="D50" s="65"/>
      <c r="E50" s="82" t="s">
        <v>82</v>
      </c>
      <c r="F50" s="84">
        <v>63.05</v>
      </c>
      <c r="G50" s="82"/>
      <c r="H50" s="25"/>
    </row>
    <row r="51" spans="1:8" x14ac:dyDescent="0.15">
      <c r="A51" s="64"/>
      <c r="B51" s="91"/>
      <c r="D51" s="65"/>
      <c r="E51" s="82" t="s">
        <v>96</v>
      </c>
      <c r="F51" s="84">
        <v>6.66</v>
      </c>
      <c r="G51" s="82"/>
      <c r="H51" s="25"/>
    </row>
    <row r="52" spans="1:8" x14ac:dyDescent="0.15">
      <c r="A52" s="64"/>
      <c r="B52" s="91"/>
      <c r="D52" s="65"/>
      <c r="E52" s="82"/>
      <c r="F52" s="84"/>
      <c r="G52" s="82"/>
      <c r="H52" s="25"/>
    </row>
    <row r="53" spans="1:8" x14ac:dyDescent="0.15">
      <c r="A53" s="64"/>
      <c r="B53" s="91"/>
      <c r="D53" s="65"/>
      <c r="E53" s="82"/>
      <c r="F53" s="84"/>
      <c r="G53" s="82"/>
      <c r="H53" s="25"/>
    </row>
    <row r="54" spans="1:8" x14ac:dyDescent="0.15">
      <c r="A54" s="64"/>
      <c r="D54" s="65"/>
      <c r="E54" s="82"/>
      <c r="G54" s="92"/>
      <c r="H54" s="25"/>
    </row>
    <row r="55" spans="1:8" x14ac:dyDescent="0.15">
      <c r="A55" s="66"/>
      <c r="B55" s="91"/>
      <c r="D55" s="65"/>
      <c r="E55" s="82" t="s">
        <v>61</v>
      </c>
      <c r="F55" s="93">
        <v>1.86</v>
      </c>
      <c r="G55" s="82"/>
      <c r="H55" s="25"/>
    </row>
    <row r="56" spans="1:8" x14ac:dyDescent="0.15">
      <c r="A56" s="66"/>
      <c r="B56" s="91"/>
      <c r="D56" s="65"/>
      <c r="E56" s="82" t="s">
        <v>93</v>
      </c>
      <c r="F56" s="84">
        <v>9.5399999999999991</v>
      </c>
      <c r="G56" s="82"/>
      <c r="H56" s="25"/>
    </row>
    <row r="57" spans="1:8" x14ac:dyDescent="0.15">
      <c r="A57" s="64"/>
      <c r="B57" s="91"/>
      <c r="D57" s="65"/>
      <c r="E57" s="82" t="s">
        <v>4</v>
      </c>
      <c r="F57" s="84"/>
      <c r="G57" s="82"/>
      <c r="H57" s="25"/>
    </row>
    <row r="58" spans="1:8" ht="13.5" thickBot="1" x14ac:dyDescent="0.2">
      <c r="A58" s="67"/>
      <c r="B58" s="68"/>
      <c r="C58" s="69"/>
      <c r="D58" s="70"/>
      <c r="E58" s="94" t="s">
        <v>62</v>
      </c>
      <c r="F58" s="95"/>
      <c r="G58" s="94"/>
      <c r="H58" s="70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E386-6765-471A-8F42-82614F91E929}">
  <dimension ref="A1:H58"/>
  <sheetViews>
    <sheetView zoomScale="150" zoomScaleNormal="150" workbookViewId="0">
      <selection sqref="A1:H58"/>
    </sheetView>
  </sheetViews>
  <sheetFormatPr defaultColWidth="8.8984375" defaultRowHeight="12.75" x14ac:dyDescent="0.15"/>
  <cols>
    <col min="1" max="1" width="17.6640625" customWidth="1"/>
    <col min="2" max="2" width="6.7421875" customWidth="1"/>
    <col min="5" max="5" width="16.1796875" customWidth="1"/>
    <col min="6" max="6" width="5.93359375" customWidth="1"/>
  </cols>
  <sheetData>
    <row r="1" spans="1:8" ht="18.75" thickBot="1" x14ac:dyDescent="0.25">
      <c r="A1" s="139" t="s">
        <v>98</v>
      </c>
      <c r="B1" s="140"/>
      <c r="C1" s="140"/>
      <c r="D1" s="140"/>
      <c r="E1" s="140"/>
      <c r="F1" s="140"/>
      <c r="G1" s="140"/>
      <c r="H1" s="141"/>
    </row>
    <row r="2" spans="1:8" x14ac:dyDescent="0.15">
      <c r="A2" s="21" t="s">
        <v>0</v>
      </c>
      <c r="B2" s="22"/>
      <c r="C2" s="23"/>
      <c r="D2" s="23"/>
      <c r="E2" s="71" t="s">
        <v>8</v>
      </c>
      <c r="F2" s="23"/>
      <c r="G2" s="23"/>
      <c r="H2" s="25"/>
    </row>
    <row r="3" spans="1:8" x14ac:dyDescent="0.15">
      <c r="A3" s="7" t="s">
        <v>1</v>
      </c>
      <c r="B3" s="19"/>
      <c r="C3" s="4"/>
      <c r="D3" s="4"/>
      <c r="E3" s="72" t="s">
        <v>9</v>
      </c>
      <c r="F3" s="4"/>
      <c r="G3" s="4"/>
      <c r="H3" s="6"/>
    </row>
    <row r="4" spans="1:8" x14ac:dyDescent="0.15">
      <c r="A4" s="7" t="s">
        <v>2</v>
      </c>
      <c r="B4" s="19"/>
      <c r="C4" s="4"/>
      <c r="D4" s="4"/>
      <c r="E4" s="72" t="s">
        <v>10</v>
      </c>
      <c r="F4" s="4"/>
      <c r="G4" s="4"/>
      <c r="H4" s="6"/>
    </row>
    <row r="5" spans="1:8" x14ac:dyDescent="0.15">
      <c r="A5" s="7" t="s">
        <v>95</v>
      </c>
      <c r="B5" s="3"/>
      <c r="C5" s="4"/>
      <c r="D5" s="20"/>
      <c r="E5" s="72"/>
      <c r="F5" s="4"/>
      <c r="G5" s="4"/>
      <c r="H5" s="6"/>
    </row>
    <row r="6" spans="1:8" ht="13.5" thickBot="1" x14ac:dyDescent="0.2">
      <c r="A6" s="14" t="s">
        <v>11</v>
      </c>
      <c r="B6" s="15"/>
      <c r="C6" s="16"/>
      <c r="D6" s="16"/>
      <c r="E6" s="73"/>
      <c r="F6" s="16"/>
      <c r="G6" s="16"/>
      <c r="H6" s="18"/>
    </row>
    <row r="7" spans="1:8" x14ac:dyDescent="0.15">
      <c r="A7" s="37"/>
      <c r="B7" s="41" t="s">
        <v>5</v>
      </c>
      <c r="C7" s="41" t="s">
        <v>6</v>
      </c>
      <c r="D7" s="41" t="s">
        <v>7</v>
      </c>
      <c r="E7" s="27"/>
      <c r="F7" s="41" t="s">
        <v>5</v>
      </c>
      <c r="G7" s="41" t="s">
        <v>6</v>
      </c>
      <c r="H7" s="42" t="s">
        <v>7</v>
      </c>
    </row>
    <row r="8" spans="1:8" x14ac:dyDescent="0.15">
      <c r="A8" s="8" t="s">
        <v>12</v>
      </c>
      <c r="B8" s="35">
        <v>2.5</v>
      </c>
      <c r="C8" s="1"/>
      <c r="D8" s="1"/>
      <c r="E8" s="1" t="s">
        <v>41</v>
      </c>
      <c r="F8" s="35">
        <v>7.81</v>
      </c>
      <c r="G8" s="1"/>
      <c r="H8" s="9"/>
    </row>
    <row r="9" spans="1:8" x14ac:dyDescent="0.15">
      <c r="A9" s="8" t="s">
        <v>45</v>
      </c>
      <c r="B9" s="35">
        <v>3.91</v>
      </c>
      <c r="C9" s="1"/>
      <c r="D9" s="1"/>
      <c r="E9" s="1" t="s">
        <v>40</v>
      </c>
      <c r="F9" s="35">
        <v>5.85</v>
      </c>
      <c r="G9" s="1"/>
      <c r="H9" s="9"/>
    </row>
    <row r="10" spans="1:8" x14ac:dyDescent="0.15">
      <c r="A10" s="8" t="s">
        <v>13</v>
      </c>
      <c r="B10" s="35">
        <v>23.43</v>
      </c>
      <c r="C10" s="1"/>
      <c r="D10" s="1"/>
      <c r="E10" s="1" t="s">
        <v>39</v>
      </c>
      <c r="F10" s="35">
        <v>5.85</v>
      </c>
      <c r="G10" s="1"/>
      <c r="H10" s="9"/>
    </row>
    <row r="11" spans="1:8" x14ac:dyDescent="0.15">
      <c r="A11" s="8" t="s">
        <v>14</v>
      </c>
      <c r="B11" s="35">
        <v>15.62</v>
      </c>
      <c r="C11" s="1"/>
      <c r="D11" s="1"/>
      <c r="E11" s="1" t="s">
        <v>38</v>
      </c>
      <c r="F11" s="35">
        <v>3.9</v>
      </c>
      <c r="G11" s="1"/>
      <c r="H11" s="9"/>
    </row>
    <row r="12" spans="1:8" x14ac:dyDescent="0.15">
      <c r="A12" s="8" t="s">
        <v>15</v>
      </c>
      <c r="B12" s="35">
        <v>11.72</v>
      </c>
      <c r="C12" s="1"/>
      <c r="D12" s="1"/>
      <c r="E12" s="1" t="s">
        <v>37</v>
      </c>
      <c r="F12" s="35">
        <v>3.9</v>
      </c>
      <c r="G12" s="1"/>
      <c r="H12" s="9"/>
    </row>
    <row r="13" spans="1:8" x14ac:dyDescent="0.15">
      <c r="A13" s="8" t="s">
        <v>16</v>
      </c>
      <c r="B13" s="35">
        <v>7.81</v>
      </c>
      <c r="C13" s="1"/>
      <c r="D13" s="1"/>
      <c r="E13" s="1" t="s">
        <v>36</v>
      </c>
      <c r="F13" s="35">
        <v>3.9</v>
      </c>
      <c r="G13" s="1"/>
      <c r="H13" s="9"/>
    </row>
    <row r="14" spans="1:8" x14ac:dyDescent="0.15">
      <c r="A14" s="8"/>
      <c r="B14" s="35"/>
      <c r="C14" s="1"/>
      <c r="D14" s="1"/>
      <c r="E14" s="1" t="s">
        <v>51</v>
      </c>
      <c r="F14" s="35">
        <v>15.61</v>
      </c>
      <c r="G14" s="1"/>
      <c r="H14" s="9"/>
    </row>
    <row r="15" spans="1:8" x14ac:dyDescent="0.15">
      <c r="A15" s="8" t="s">
        <v>18</v>
      </c>
      <c r="B15" s="35">
        <v>8.7799999999999994</v>
      </c>
      <c r="C15" s="1"/>
      <c r="D15" s="1"/>
      <c r="E15" s="1" t="s">
        <v>52</v>
      </c>
      <c r="F15" s="35">
        <v>11.71</v>
      </c>
      <c r="G15" s="1"/>
      <c r="H15" s="9"/>
    </row>
    <row r="16" spans="1:8" x14ac:dyDescent="0.15">
      <c r="A16" s="8" t="s">
        <v>19</v>
      </c>
      <c r="B16" s="35">
        <v>5.85</v>
      </c>
      <c r="C16" s="1"/>
      <c r="D16" s="1"/>
      <c r="E16" s="1" t="s">
        <v>53</v>
      </c>
      <c r="F16" s="35">
        <v>11.71</v>
      </c>
      <c r="G16" s="1"/>
      <c r="H16" s="9"/>
    </row>
    <row r="17" spans="1:8" x14ac:dyDescent="0.15">
      <c r="A17" s="8" t="s">
        <v>20</v>
      </c>
      <c r="B17" s="35">
        <v>5.85</v>
      </c>
      <c r="C17" s="1"/>
      <c r="D17" s="1"/>
      <c r="E17" s="1" t="s">
        <v>54</v>
      </c>
      <c r="F17" s="35">
        <v>7.81</v>
      </c>
      <c r="G17" s="1"/>
      <c r="H17" s="9"/>
    </row>
    <row r="18" spans="1:8" x14ac:dyDescent="0.15">
      <c r="A18" s="8" t="s">
        <v>21</v>
      </c>
      <c r="B18" s="35">
        <v>4.88</v>
      </c>
      <c r="C18" s="1"/>
      <c r="D18" s="1"/>
      <c r="E18" s="1" t="s">
        <v>55</v>
      </c>
      <c r="F18" s="35">
        <v>7.81</v>
      </c>
      <c r="G18" s="1"/>
      <c r="H18" s="9"/>
    </row>
    <row r="19" spans="1:8" x14ac:dyDescent="0.15">
      <c r="A19" s="8" t="s">
        <v>22</v>
      </c>
      <c r="B19" s="35">
        <v>4.88</v>
      </c>
      <c r="C19" s="1"/>
      <c r="D19" s="1"/>
      <c r="E19" s="1" t="s">
        <v>56</v>
      </c>
      <c r="F19" s="35">
        <v>7.81</v>
      </c>
      <c r="G19" s="1"/>
      <c r="H19" s="9"/>
    </row>
    <row r="20" spans="1:8" x14ac:dyDescent="0.15">
      <c r="A20" s="8" t="s">
        <v>23</v>
      </c>
      <c r="B20" s="35">
        <v>4.88</v>
      </c>
      <c r="C20" s="1"/>
      <c r="D20" s="1"/>
      <c r="E20" s="96" t="s">
        <v>76</v>
      </c>
      <c r="F20" s="32">
        <v>5.15</v>
      </c>
      <c r="G20" s="1"/>
      <c r="H20" s="9"/>
    </row>
    <row r="21" spans="1:8" x14ac:dyDescent="0.15">
      <c r="A21" s="8" t="s">
        <v>24</v>
      </c>
      <c r="B21" s="35">
        <v>4.88</v>
      </c>
      <c r="C21" s="1"/>
      <c r="D21" s="1"/>
      <c r="E21" s="96" t="s">
        <v>77</v>
      </c>
      <c r="F21" s="32">
        <f>F20*2</f>
        <v>10.3</v>
      </c>
      <c r="G21" s="1"/>
      <c r="H21" s="9"/>
    </row>
    <row r="22" spans="1:8" x14ac:dyDescent="0.15">
      <c r="A22" s="8"/>
      <c r="B22" s="35"/>
      <c r="C22" s="1"/>
      <c r="D22" s="1"/>
      <c r="E22" s="96" t="s">
        <v>78</v>
      </c>
      <c r="F22" s="32">
        <f>F20*3</f>
        <v>15.450000000000001</v>
      </c>
      <c r="G22" s="1"/>
      <c r="H22" s="9"/>
    </row>
    <row r="23" spans="1:8" x14ac:dyDescent="0.15">
      <c r="A23" s="8"/>
      <c r="B23" s="35"/>
      <c r="C23" s="1"/>
      <c r="D23" s="1"/>
      <c r="E23" s="96" t="s">
        <v>79</v>
      </c>
      <c r="F23" s="32">
        <f>F20*4</f>
        <v>20.6</v>
      </c>
      <c r="G23" s="1"/>
      <c r="H23" s="9"/>
    </row>
    <row r="24" spans="1:8" x14ac:dyDescent="0.15">
      <c r="A24" s="8"/>
      <c r="B24" s="35"/>
      <c r="C24" s="1"/>
      <c r="D24" s="1"/>
      <c r="E24" s="8" t="s">
        <v>80</v>
      </c>
      <c r="F24" s="32">
        <f>F20*5</f>
        <v>25.75</v>
      </c>
      <c r="G24" s="1"/>
      <c r="H24" s="9"/>
    </row>
    <row r="25" spans="1:8" x14ac:dyDescent="0.15">
      <c r="A25" s="8" t="s">
        <v>29</v>
      </c>
      <c r="B25" s="35">
        <v>4.88</v>
      </c>
      <c r="C25" s="1"/>
      <c r="D25" s="1"/>
      <c r="E25" s="8" t="s">
        <v>81</v>
      </c>
      <c r="F25" s="32">
        <f>F20*6</f>
        <v>30.900000000000002</v>
      </c>
      <c r="G25" s="1"/>
      <c r="H25" s="9"/>
    </row>
    <row r="26" spans="1:8" x14ac:dyDescent="0.15">
      <c r="A26" s="8" t="s">
        <v>25</v>
      </c>
      <c r="B26" s="35">
        <v>4.88</v>
      </c>
      <c r="C26" s="1"/>
      <c r="D26" s="1"/>
      <c r="E26" s="8" t="s">
        <v>102</v>
      </c>
      <c r="F26" s="32">
        <f>3.73*6</f>
        <v>22.38</v>
      </c>
      <c r="G26" s="1"/>
      <c r="H26" s="9"/>
    </row>
    <row r="27" spans="1:8" x14ac:dyDescent="0.15">
      <c r="A27" s="8" t="s">
        <v>30</v>
      </c>
      <c r="B27" s="35">
        <v>3.73</v>
      </c>
      <c r="C27" s="1"/>
      <c r="D27" s="1"/>
      <c r="E27" s="1" t="s">
        <v>43</v>
      </c>
      <c r="F27" s="35">
        <v>15.61</v>
      </c>
      <c r="G27" s="1"/>
      <c r="H27" s="9"/>
    </row>
    <row r="28" spans="1:8" x14ac:dyDescent="0.15">
      <c r="A28" s="8" t="s">
        <v>44</v>
      </c>
      <c r="B28" s="35">
        <v>3.73</v>
      </c>
      <c r="C28" s="1"/>
      <c r="D28" s="1"/>
      <c r="E28" s="1" t="s">
        <v>75</v>
      </c>
      <c r="F28" s="35">
        <v>11.71</v>
      </c>
      <c r="G28" s="1"/>
      <c r="H28" s="9"/>
    </row>
    <row r="29" spans="1:8" x14ac:dyDescent="0.15">
      <c r="A29" s="8" t="s">
        <v>31</v>
      </c>
      <c r="B29" s="35">
        <v>8.7799999999999994</v>
      </c>
      <c r="C29" s="1"/>
      <c r="D29" s="1"/>
      <c r="E29" s="1" t="s">
        <v>83</v>
      </c>
      <c r="F29" s="35">
        <v>47.96</v>
      </c>
      <c r="G29" s="1"/>
      <c r="H29" s="9"/>
    </row>
    <row r="30" spans="1:8" x14ac:dyDescent="0.15">
      <c r="A30" s="8" t="s">
        <v>32</v>
      </c>
      <c r="B30" s="35">
        <v>8.7799999999999994</v>
      </c>
      <c r="C30" s="1"/>
      <c r="D30" s="1"/>
      <c r="E30" s="45" t="s">
        <v>84</v>
      </c>
      <c r="F30" s="35">
        <v>12.51</v>
      </c>
      <c r="G30" s="1"/>
      <c r="H30" s="9"/>
    </row>
    <row r="31" spans="1:8" x14ac:dyDescent="0.15">
      <c r="A31" s="8" t="s">
        <v>33</v>
      </c>
      <c r="B31" s="35">
        <v>8.7799999999999994</v>
      </c>
      <c r="C31" s="1"/>
      <c r="D31" s="1"/>
      <c r="E31" s="1" t="s">
        <v>63</v>
      </c>
      <c r="F31" s="35">
        <v>3.73</v>
      </c>
      <c r="G31" s="1"/>
      <c r="H31" s="9"/>
    </row>
    <row r="32" spans="1:8" x14ac:dyDescent="0.15">
      <c r="A32" s="8" t="s">
        <v>34</v>
      </c>
      <c r="B32" s="35">
        <v>8.7799999999999994</v>
      </c>
      <c r="C32" s="1"/>
      <c r="D32" s="1"/>
      <c r="E32" s="1" t="s">
        <v>64</v>
      </c>
      <c r="F32" s="35">
        <v>3.73</v>
      </c>
      <c r="G32" s="1"/>
      <c r="H32" s="9"/>
    </row>
    <row r="33" spans="1:8" x14ac:dyDescent="0.15">
      <c r="A33" s="8" t="s">
        <v>35</v>
      </c>
      <c r="B33" s="35">
        <v>8.7799999999999994</v>
      </c>
      <c r="C33" s="1"/>
      <c r="D33" s="1"/>
      <c r="E33" s="1" t="s">
        <v>65</v>
      </c>
      <c r="F33" s="35">
        <v>3.73</v>
      </c>
      <c r="G33" s="1"/>
      <c r="H33" s="9"/>
    </row>
    <row r="34" spans="1:8" x14ac:dyDescent="0.15">
      <c r="A34" s="8" t="s">
        <v>46</v>
      </c>
      <c r="B34" s="35">
        <v>8.7799999999999994</v>
      </c>
      <c r="C34" s="1"/>
      <c r="D34" s="1"/>
      <c r="E34" s="1" t="s">
        <v>66</v>
      </c>
      <c r="F34" s="35">
        <v>3.73</v>
      </c>
      <c r="G34" s="1"/>
      <c r="H34" s="9"/>
    </row>
    <row r="35" spans="1:8" x14ac:dyDescent="0.15">
      <c r="A35" s="8" t="s">
        <v>47</v>
      </c>
      <c r="B35" s="35">
        <v>7.81</v>
      </c>
      <c r="C35" s="1"/>
      <c r="D35" s="1"/>
      <c r="E35" s="1" t="s">
        <v>67</v>
      </c>
      <c r="F35" s="35">
        <v>3.73</v>
      </c>
      <c r="G35" s="1"/>
      <c r="H35" s="9"/>
    </row>
    <row r="36" spans="1:8" x14ac:dyDescent="0.15">
      <c r="A36" s="8" t="s">
        <v>48</v>
      </c>
      <c r="B36" s="35">
        <v>7.81</v>
      </c>
      <c r="C36" s="1"/>
      <c r="D36" s="1"/>
      <c r="E36" s="1" t="s">
        <v>68</v>
      </c>
      <c r="F36" s="35">
        <v>3.73</v>
      </c>
      <c r="G36" s="1"/>
      <c r="H36" s="9"/>
    </row>
    <row r="37" spans="1:8" x14ac:dyDescent="0.15">
      <c r="A37" s="8" t="s">
        <v>49</v>
      </c>
      <c r="B37" s="35">
        <v>5.85</v>
      </c>
      <c r="C37" s="1"/>
      <c r="D37" s="1"/>
      <c r="E37" s="1" t="s">
        <v>86</v>
      </c>
      <c r="F37" s="35">
        <v>13.66</v>
      </c>
      <c r="G37" s="1"/>
      <c r="H37" s="9"/>
    </row>
    <row r="38" spans="1:8" x14ac:dyDescent="0.15">
      <c r="A38" s="8" t="s">
        <v>50</v>
      </c>
      <c r="B38" s="35">
        <v>5.85</v>
      </c>
      <c r="C38" s="1"/>
      <c r="D38" s="1"/>
      <c r="E38" s="1" t="s">
        <v>103</v>
      </c>
      <c r="F38" s="35">
        <v>13.66</v>
      </c>
      <c r="G38" s="1"/>
      <c r="H38" s="9"/>
    </row>
    <row r="39" spans="1:8" x14ac:dyDescent="0.15">
      <c r="A39" s="8"/>
      <c r="B39" s="1"/>
      <c r="C39" s="1"/>
      <c r="D39" s="1"/>
      <c r="E39" s="97" t="s">
        <v>104</v>
      </c>
      <c r="F39" s="98">
        <v>17.559999999999999</v>
      </c>
      <c r="G39" s="1"/>
      <c r="H39" s="9"/>
    </row>
    <row r="40" spans="1:8" x14ac:dyDescent="0.15">
      <c r="A40" s="8" t="s">
        <v>99</v>
      </c>
      <c r="B40" s="1">
        <v>19.510000000000002</v>
      </c>
      <c r="C40" s="1"/>
      <c r="D40" s="1"/>
      <c r="E40" s="53" t="s">
        <v>72</v>
      </c>
      <c r="F40" s="35">
        <v>1.66</v>
      </c>
      <c r="G40" s="1"/>
      <c r="H40" s="9"/>
    </row>
    <row r="41" spans="1:8" x14ac:dyDescent="0.15">
      <c r="A41" s="8" t="s">
        <v>100</v>
      </c>
      <c r="B41" s="1">
        <v>15.61</v>
      </c>
      <c r="C41" s="1"/>
      <c r="D41" s="1"/>
      <c r="E41" s="53" t="s">
        <v>73</v>
      </c>
      <c r="F41" s="35">
        <v>15.99</v>
      </c>
      <c r="G41" s="1"/>
      <c r="H41" s="9"/>
    </row>
    <row r="42" spans="1:8" x14ac:dyDescent="0.15">
      <c r="A42" s="8" t="s">
        <v>101</v>
      </c>
      <c r="B42" s="1">
        <v>11.71</v>
      </c>
      <c r="C42" s="1"/>
      <c r="D42" s="1"/>
      <c r="E42" s="53" t="s">
        <v>92</v>
      </c>
      <c r="F42" s="35">
        <v>5</v>
      </c>
      <c r="G42" s="1"/>
      <c r="H42" s="9"/>
    </row>
    <row r="43" spans="1:8" x14ac:dyDescent="0.15">
      <c r="A43" s="8"/>
      <c r="B43" s="1"/>
      <c r="C43" s="1"/>
      <c r="D43" s="1"/>
      <c r="E43" s="53" t="s">
        <v>71</v>
      </c>
      <c r="F43" s="35">
        <v>9.09</v>
      </c>
      <c r="G43" s="1"/>
      <c r="H43" s="9"/>
    </row>
    <row r="44" spans="1:8" x14ac:dyDescent="0.15">
      <c r="A44" s="8"/>
      <c r="B44" s="1"/>
      <c r="C44" s="1"/>
      <c r="D44" s="1"/>
      <c r="E44" s="54" t="s">
        <v>85</v>
      </c>
      <c r="F44" s="35">
        <v>4.21</v>
      </c>
      <c r="G44" s="1"/>
      <c r="H44" s="9"/>
    </row>
    <row r="45" spans="1:8" ht="13.5" thickBot="1" x14ac:dyDescent="0.2">
      <c r="A45" s="58"/>
      <c r="B45" s="26"/>
      <c r="C45" s="26"/>
      <c r="D45" s="26"/>
      <c r="E45" s="55" t="s">
        <v>105</v>
      </c>
      <c r="F45" s="50">
        <v>4.3899999999999997</v>
      </c>
      <c r="G45" s="26"/>
      <c r="H45" s="36"/>
    </row>
    <row r="46" spans="1:8" x14ac:dyDescent="0.15">
      <c r="A46" s="60" t="s">
        <v>94</v>
      </c>
      <c r="B46" s="61"/>
      <c r="C46" s="62"/>
      <c r="D46" s="63"/>
      <c r="E46" s="56" t="s">
        <v>57</v>
      </c>
      <c r="F46" s="51"/>
      <c r="G46" s="27"/>
      <c r="H46" s="28"/>
    </row>
    <row r="47" spans="1:8" x14ac:dyDescent="0.15">
      <c r="A47" s="64"/>
      <c r="B47" s="59"/>
      <c r="C47" s="52"/>
      <c r="D47" s="65"/>
      <c r="E47" s="53" t="s">
        <v>58</v>
      </c>
      <c r="F47" s="35"/>
      <c r="G47" s="1"/>
      <c r="H47" s="9"/>
    </row>
    <row r="48" spans="1:8" x14ac:dyDescent="0.15">
      <c r="A48" s="64"/>
      <c r="B48" s="59"/>
      <c r="C48" s="52"/>
      <c r="D48" s="65"/>
      <c r="E48" s="53" t="s">
        <v>59</v>
      </c>
      <c r="F48" s="35">
        <v>3.22</v>
      </c>
      <c r="G48" s="1"/>
      <c r="H48" s="9"/>
    </row>
    <row r="49" spans="1:8" x14ac:dyDescent="0.15">
      <c r="A49" s="64"/>
      <c r="B49" s="52"/>
      <c r="C49" s="52"/>
      <c r="D49" s="65"/>
      <c r="E49" s="53" t="s">
        <v>60</v>
      </c>
      <c r="F49" s="35"/>
      <c r="G49" s="1"/>
      <c r="H49" s="9"/>
    </row>
    <row r="50" spans="1:8" x14ac:dyDescent="0.15">
      <c r="A50" s="64"/>
      <c r="B50" s="52"/>
      <c r="C50" s="52"/>
      <c r="D50" s="65"/>
      <c r="E50" s="96" t="s">
        <v>107</v>
      </c>
      <c r="F50" s="32">
        <v>40.159999999999997</v>
      </c>
      <c r="G50" s="1"/>
      <c r="H50" s="9"/>
    </row>
    <row r="51" spans="1:8" x14ac:dyDescent="0.15">
      <c r="A51" s="64"/>
      <c r="B51" s="59"/>
      <c r="C51" s="52"/>
      <c r="D51" s="65"/>
      <c r="E51" s="64" t="s">
        <v>108</v>
      </c>
      <c r="F51" s="32">
        <v>46.14</v>
      </c>
      <c r="G51" s="1"/>
      <c r="H51" s="9"/>
    </row>
    <row r="52" spans="1:8" x14ac:dyDescent="0.15">
      <c r="A52" s="64"/>
      <c r="B52" s="59"/>
      <c r="C52" s="52"/>
      <c r="D52" s="65"/>
      <c r="E52" s="96" t="s">
        <v>106</v>
      </c>
      <c r="F52" s="32">
        <v>20.8</v>
      </c>
      <c r="G52" s="1"/>
      <c r="H52" s="9"/>
    </row>
    <row r="53" spans="1:8" x14ac:dyDescent="0.15">
      <c r="A53" s="64"/>
      <c r="B53" s="59"/>
      <c r="C53" s="52"/>
      <c r="D53" s="65"/>
      <c r="E53" s="53"/>
      <c r="F53" s="35"/>
      <c r="G53" s="1"/>
      <c r="H53" s="9"/>
    </row>
    <row r="54" spans="1:8" x14ac:dyDescent="0.15">
      <c r="A54" s="64"/>
      <c r="B54" s="52"/>
      <c r="C54" s="52"/>
      <c r="D54" s="65"/>
      <c r="E54" s="53" t="s">
        <v>96</v>
      </c>
      <c r="F54" s="35">
        <v>10.73</v>
      </c>
      <c r="G54" s="1"/>
      <c r="H54" s="9"/>
    </row>
    <row r="55" spans="1:8" x14ac:dyDescent="0.15">
      <c r="A55" s="66"/>
      <c r="B55" s="59"/>
      <c r="C55" s="52"/>
      <c r="D55" s="65"/>
      <c r="E55" s="53" t="s">
        <v>61</v>
      </c>
      <c r="F55" s="35">
        <v>1.98</v>
      </c>
      <c r="G55" s="1"/>
      <c r="H55" s="9"/>
    </row>
    <row r="56" spans="1:8" x14ac:dyDescent="0.15">
      <c r="A56" s="66"/>
      <c r="B56" s="59"/>
      <c r="C56" s="52"/>
      <c r="D56" s="65"/>
      <c r="E56" s="53" t="s">
        <v>93</v>
      </c>
      <c r="F56" s="35">
        <v>9.11</v>
      </c>
      <c r="G56" s="1"/>
      <c r="H56" s="9"/>
    </row>
    <row r="57" spans="1:8" x14ac:dyDescent="0.15">
      <c r="A57" s="64"/>
      <c r="B57" s="59"/>
      <c r="C57" s="52"/>
      <c r="D57" s="65"/>
      <c r="E57" s="53" t="s">
        <v>4</v>
      </c>
      <c r="F57" s="35"/>
      <c r="G57" s="1"/>
      <c r="H57" s="9"/>
    </row>
    <row r="58" spans="1:8" ht="13.5" thickBot="1" x14ac:dyDescent="0.2">
      <c r="A58" s="67"/>
      <c r="B58" s="68"/>
      <c r="C58" s="69"/>
      <c r="D58" s="70"/>
      <c r="E58" s="57" t="s">
        <v>62</v>
      </c>
      <c r="F58" s="39"/>
      <c r="G58" s="12"/>
      <c r="H58" s="13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6E0B-3032-476C-9F3E-D697B9576A72}">
  <dimension ref="A1:H58"/>
  <sheetViews>
    <sheetView workbookViewId="0">
      <selection activeCell="I40" sqref="I40"/>
    </sheetView>
  </sheetViews>
  <sheetFormatPr defaultRowHeight="12.75" x14ac:dyDescent="0.15"/>
  <sheetData>
    <row r="1" spans="1:8" ht="18.75" thickBot="1" x14ac:dyDescent="0.25">
      <c r="A1" s="139" t="s">
        <v>98</v>
      </c>
      <c r="B1" s="140"/>
      <c r="C1" s="140"/>
      <c r="D1" s="140"/>
      <c r="E1" s="140"/>
      <c r="F1" s="140"/>
      <c r="G1" s="140"/>
      <c r="H1" s="141"/>
    </row>
    <row r="2" spans="1:8" x14ac:dyDescent="0.15">
      <c r="A2" s="21" t="s">
        <v>0</v>
      </c>
      <c r="B2" s="22"/>
      <c r="C2" s="23"/>
      <c r="D2" s="23"/>
      <c r="E2" s="71" t="s">
        <v>8</v>
      </c>
      <c r="F2" s="23"/>
      <c r="G2" s="23"/>
      <c r="H2" s="25"/>
    </row>
    <row r="3" spans="1:8" x14ac:dyDescent="0.15">
      <c r="A3" s="7" t="s">
        <v>1</v>
      </c>
      <c r="B3" s="19"/>
      <c r="C3" s="4"/>
      <c r="D3" s="4"/>
      <c r="E3" s="72" t="s">
        <v>9</v>
      </c>
      <c r="F3" s="4"/>
      <c r="G3" s="4"/>
      <c r="H3" s="6"/>
    </row>
    <row r="4" spans="1:8" x14ac:dyDescent="0.15">
      <c r="A4" s="7" t="s">
        <v>2</v>
      </c>
      <c r="B4" s="19"/>
      <c r="C4" s="4"/>
      <c r="D4" s="4"/>
      <c r="E4" s="72" t="s">
        <v>10</v>
      </c>
      <c r="F4" s="4"/>
      <c r="G4" s="4"/>
      <c r="H4" s="6"/>
    </row>
    <row r="5" spans="1:8" x14ac:dyDescent="0.15">
      <c r="A5" s="7" t="s">
        <v>95</v>
      </c>
      <c r="B5" s="3"/>
      <c r="C5" s="4"/>
      <c r="D5" s="20"/>
      <c r="E5" s="72"/>
      <c r="F5" s="4"/>
      <c r="G5" s="4"/>
      <c r="H5" s="6"/>
    </row>
    <row r="6" spans="1:8" ht="13.5" thickBot="1" x14ac:dyDescent="0.2">
      <c r="A6" s="14" t="s">
        <v>11</v>
      </c>
      <c r="B6" s="15"/>
      <c r="C6" s="16"/>
      <c r="D6" s="16"/>
      <c r="E6" s="73"/>
      <c r="F6" s="16"/>
      <c r="G6" s="16"/>
      <c r="H6" s="18"/>
    </row>
    <row r="7" spans="1:8" x14ac:dyDescent="0.15">
      <c r="A7" s="37"/>
      <c r="B7" s="41" t="s">
        <v>5</v>
      </c>
      <c r="C7" s="41" t="s">
        <v>6</v>
      </c>
      <c r="D7" s="41" t="s">
        <v>7</v>
      </c>
      <c r="E7" s="27"/>
      <c r="F7" s="41" t="s">
        <v>5</v>
      </c>
      <c r="G7" s="41" t="s">
        <v>6</v>
      </c>
      <c r="H7" s="42" t="s">
        <v>7</v>
      </c>
    </row>
    <row r="8" spans="1:8" x14ac:dyDescent="0.15">
      <c r="A8" s="8" t="s">
        <v>12</v>
      </c>
      <c r="B8" s="35">
        <v>2.5</v>
      </c>
      <c r="C8" s="1"/>
      <c r="D8" s="1"/>
      <c r="E8" s="1" t="s">
        <v>41</v>
      </c>
      <c r="F8" s="35">
        <v>7.81</v>
      </c>
      <c r="G8" s="1"/>
      <c r="H8" s="9"/>
    </row>
    <row r="9" spans="1:8" x14ac:dyDescent="0.15">
      <c r="A9" s="8" t="s">
        <v>45</v>
      </c>
      <c r="B9" s="35">
        <v>3.91</v>
      </c>
      <c r="C9" s="1"/>
      <c r="D9" s="1"/>
      <c r="E9" s="1" t="s">
        <v>40</v>
      </c>
      <c r="F9" s="35">
        <v>5.85</v>
      </c>
      <c r="G9" s="1"/>
      <c r="H9" s="9"/>
    </row>
    <row r="10" spans="1:8" x14ac:dyDescent="0.15">
      <c r="A10" s="8" t="s">
        <v>13</v>
      </c>
      <c r="B10" s="35">
        <v>23.43</v>
      </c>
      <c r="C10" s="1"/>
      <c r="D10" s="1"/>
      <c r="E10" s="1" t="s">
        <v>39</v>
      </c>
      <c r="F10" s="35">
        <v>5.85</v>
      </c>
      <c r="G10" s="1"/>
      <c r="H10" s="9"/>
    </row>
    <row r="11" spans="1:8" x14ac:dyDescent="0.15">
      <c r="A11" s="8" t="s">
        <v>14</v>
      </c>
      <c r="B11" s="35">
        <v>15.62</v>
      </c>
      <c r="C11" s="1"/>
      <c r="D11" s="1"/>
      <c r="E11" s="1" t="s">
        <v>38</v>
      </c>
      <c r="F11" s="35">
        <v>3.9</v>
      </c>
      <c r="G11" s="1"/>
      <c r="H11" s="9"/>
    </row>
    <row r="12" spans="1:8" x14ac:dyDescent="0.15">
      <c r="A12" s="8" t="s">
        <v>15</v>
      </c>
      <c r="B12" s="35">
        <v>11.72</v>
      </c>
      <c r="C12" s="1"/>
      <c r="D12" s="1"/>
      <c r="E12" s="1" t="s">
        <v>37</v>
      </c>
      <c r="F12" s="35">
        <v>3.9</v>
      </c>
      <c r="G12" s="1"/>
      <c r="H12" s="9"/>
    </row>
    <row r="13" spans="1:8" x14ac:dyDescent="0.15">
      <c r="A13" s="8" t="s">
        <v>16</v>
      </c>
      <c r="B13" s="35">
        <v>7.81</v>
      </c>
      <c r="C13" s="1"/>
      <c r="D13" s="1"/>
      <c r="E13" s="1" t="s">
        <v>36</v>
      </c>
      <c r="F13" s="35">
        <v>3.9</v>
      </c>
      <c r="G13" s="1"/>
      <c r="H13" s="9"/>
    </row>
    <row r="14" spans="1:8" x14ac:dyDescent="0.15">
      <c r="A14" s="8"/>
      <c r="B14" s="35"/>
      <c r="C14" s="1"/>
      <c r="D14" s="1"/>
      <c r="E14" s="1" t="s">
        <v>51</v>
      </c>
      <c r="F14" s="35">
        <v>15.61</v>
      </c>
      <c r="G14" s="1"/>
      <c r="H14" s="9"/>
    </row>
    <row r="15" spans="1:8" x14ac:dyDescent="0.15">
      <c r="A15" s="8" t="s">
        <v>18</v>
      </c>
      <c r="B15" s="35">
        <v>8.7799999999999994</v>
      </c>
      <c r="C15" s="1"/>
      <c r="D15" s="1"/>
      <c r="E15" s="1" t="s">
        <v>52</v>
      </c>
      <c r="F15" s="35">
        <v>11.71</v>
      </c>
      <c r="G15" s="1"/>
      <c r="H15" s="9"/>
    </row>
    <row r="16" spans="1:8" x14ac:dyDescent="0.15">
      <c r="A16" s="8" t="s">
        <v>19</v>
      </c>
      <c r="B16" s="35">
        <v>5.85</v>
      </c>
      <c r="C16" s="1"/>
      <c r="D16" s="1"/>
      <c r="E16" s="1" t="s">
        <v>53</v>
      </c>
      <c r="F16" s="35">
        <v>11.71</v>
      </c>
      <c r="G16" s="1"/>
      <c r="H16" s="9"/>
    </row>
    <row r="17" spans="1:8" x14ac:dyDescent="0.15">
      <c r="A17" s="8" t="s">
        <v>20</v>
      </c>
      <c r="B17" s="35">
        <v>5.85</v>
      </c>
      <c r="C17" s="1"/>
      <c r="D17" s="1"/>
      <c r="E17" s="1" t="s">
        <v>54</v>
      </c>
      <c r="F17" s="35">
        <v>7.81</v>
      </c>
      <c r="G17" s="1"/>
      <c r="H17" s="9"/>
    </row>
    <row r="18" spans="1:8" x14ac:dyDescent="0.15">
      <c r="A18" s="8" t="s">
        <v>21</v>
      </c>
      <c r="B18" s="35">
        <v>4.88</v>
      </c>
      <c r="C18" s="1"/>
      <c r="D18" s="1"/>
      <c r="E18" s="1" t="s">
        <v>55</v>
      </c>
      <c r="F18" s="35">
        <v>7.81</v>
      </c>
      <c r="G18" s="1"/>
      <c r="H18" s="9"/>
    </row>
    <row r="19" spans="1:8" x14ac:dyDescent="0.15">
      <c r="A19" s="8" t="s">
        <v>22</v>
      </c>
      <c r="B19" s="35">
        <v>4.88</v>
      </c>
      <c r="C19" s="1"/>
      <c r="D19" s="1"/>
      <c r="E19" s="1" t="s">
        <v>56</v>
      </c>
      <c r="F19" s="35">
        <v>7.81</v>
      </c>
      <c r="G19" s="1"/>
      <c r="H19" s="9"/>
    </row>
    <row r="20" spans="1:8" x14ac:dyDescent="0.15">
      <c r="A20" s="8" t="s">
        <v>23</v>
      </c>
      <c r="B20" s="35">
        <v>4.88</v>
      </c>
      <c r="C20" s="1"/>
      <c r="D20" s="1"/>
      <c r="E20" s="96" t="s">
        <v>76</v>
      </c>
      <c r="F20" s="32">
        <v>5.15</v>
      </c>
      <c r="G20" s="1"/>
      <c r="H20" s="9"/>
    </row>
    <row r="21" spans="1:8" x14ac:dyDescent="0.15">
      <c r="A21" s="8" t="s">
        <v>24</v>
      </c>
      <c r="B21" s="35">
        <v>4.88</v>
      </c>
      <c r="C21" s="1"/>
      <c r="D21" s="1"/>
      <c r="E21" s="96" t="s">
        <v>77</v>
      </c>
      <c r="F21" s="32">
        <f>F20*2</f>
        <v>10.3</v>
      </c>
      <c r="G21" s="1"/>
      <c r="H21" s="9"/>
    </row>
    <row r="22" spans="1:8" x14ac:dyDescent="0.15">
      <c r="A22" s="8"/>
      <c r="B22" s="35"/>
      <c r="C22" s="1"/>
      <c r="D22" s="1"/>
      <c r="E22" s="96" t="s">
        <v>78</v>
      </c>
      <c r="F22" s="32">
        <f>F20*3</f>
        <v>15.450000000000001</v>
      </c>
      <c r="G22" s="1"/>
      <c r="H22" s="9"/>
    </row>
    <row r="23" spans="1:8" x14ac:dyDescent="0.15">
      <c r="A23" s="8"/>
      <c r="B23" s="35"/>
      <c r="C23" s="1"/>
      <c r="D23" s="1"/>
      <c r="E23" s="96" t="s">
        <v>79</v>
      </c>
      <c r="F23" s="32">
        <f>F20*4</f>
        <v>20.6</v>
      </c>
      <c r="G23" s="1"/>
      <c r="H23" s="9"/>
    </row>
    <row r="24" spans="1:8" x14ac:dyDescent="0.15">
      <c r="A24" s="8"/>
      <c r="B24" s="35"/>
      <c r="C24" s="1"/>
      <c r="D24" s="1"/>
      <c r="E24" s="8" t="s">
        <v>80</v>
      </c>
      <c r="F24" s="32">
        <f>F20*5</f>
        <v>25.75</v>
      </c>
      <c r="G24" s="1"/>
      <c r="H24" s="9"/>
    </row>
    <row r="25" spans="1:8" x14ac:dyDescent="0.15">
      <c r="A25" s="8" t="s">
        <v>29</v>
      </c>
      <c r="B25" s="35">
        <v>4.88</v>
      </c>
      <c r="C25" s="1"/>
      <c r="D25" s="1"/>
      <c r="E25" s="8" t="s">
        <v>81</v>
      </c>
      <c r="F25" s="32">
        <f>F20*6</f>
        <v>30.900000000000002</v>
      </c>
      <c r="G25" s="1"/>
      <c r="H25" s="9"/>
    </row>
    <row r="26" spans="1:8" x14ac:dyDescent="0.15">
      <c r="A26" s="8" t="s">
        <v>25</v>
      </c>
      <c r="B26" s="35">
        <v>4.88</v>
      </c>
      <c r="C26" s="1"/>
      <c r="D26" s="1"/>
      <c r="E26" s="8" t="s">
        <v>102</v>
      </c>
      <c r="F26" s="32">
        <f>3.73*6</f>
        <v>22.38</v>
      </c>
      <c r="G26" s="1"/>
      <c r="H26" s="9"/>
    </row>
    <row r="27" spans="1:8" x14ac:dyDescent="0.15">
      <c r="A27" s="8" t="s">
        <v>30</v>
      </c>
      <c r="B27" s="35">
        <v>3.73</v>
      </c>
      <c r="C27" s="1"/>
      <c r="D27" s="1"/>
      <c r="E27" s="1" t="s">
        <v>43</v>
      </c>
      <c r="F27" s="35">
        <v>15.61</v>
      </c>
      <c r="G27" s="1"/>
      <c r="H27" s="9"/>
    </row>
    <row r="28" spans="1:8" x14ac:dyDescent="0.15">
      <c r="A28" s="8" t="s">
        <v>44</v>
      </c>
      <c r="B28" s="35">
        <v>3.73</v>
      </c>
      <c r="C28" s="1"/>
      <c r="D28" s="1"/>
      <c r="E28" s="1" t="s">
        <v>75</v>
      </c>
      <c r="F28" s="35">
        <v>11.71</v>
      </c>
      <c r="G28" s="1"/>
      <c r="H28" s="9"/>
    </row>
    <row r="29" spans="1:8" x14ac:dyDescent="0.15">
      <c r="A29" s="8" t="s">
        <v>31</v>
      </c>
      <c r="B29" s="35">
        <v>8.7799999999999994</v>
      </c>
      <c r="C29" s="1"/>
      <c r="D29" s="1"/>
      <c r="E29" s="1" t="s">
        <v>83</v>
      </c>
      <c r="F29" s="35">
        <v>47.96</v>
      </c>
      <c r="G29" s="1"/>
      <c r="H29" s="9"/>
    </row>
    <row r="30" spans="1:8" x14ac:dyDescent="0.15">
      <c r="A30" s="8" t="s">
        <v>32</v>
      </c>
      <c r="B30" s="35">
        <v>8.7799999999999994</v>
      </c>
      <c r="C30" s="1"/>
      <c r="D30" s="1"/>
      <c r="E30" s="45" t="s">
        <v>84</v>
      </c>
      <c r="F30" s="35">
        <v>12.51</v>
      </c>
      <c r="G30" s="1"/>
      <c r="H30" s="9"/>
    </row>
    <row r="31" spans="1:8" x14ac:dyDescent="0.15">
      <c r="A31" s="8" t="s">
        <v>33</v>
      </c>
      <c r="B31" s="35">
        <v>8.7799999999999994</v>
      </c>
      <c r="C31" s="1"/>
      <c r="D31" s="1"/>
      <c r="E31" s="1" t="s">
        <v>63</v>
      </c>
      <c r="F31" s="35">
        <v>3.73</v>
      </c>
      <c r="G31" s="1"/>
      <c r="H31" s="9"/>
    </row>
    <row r="32" spans="1:8" x14ac:dyDescent="0.15">
      <c r="A32" s="8" t="s">
        <v>34</v>
      </c>
      <c r="B32" s="35">
        <v>8.7799999999999994</v>
      </c>
      <c r="C32" s="1"/>
      <c r="D32" s="1"/>
      <c r="E32" s="1" t="s">
        <v>64</v>
      </c>
      <c r="F32" s="35">
        <v>3.73</v>
      </c>
      <c r="G32" s="1"/>
      <c r="H32" s="9"/>
    </row>
    <row r="33" spans="1:8" x14ac:dyDescent="0.15">
      <c r="A33" s="8" t="s">
        <v>35</v>
      </c>
      <c r="B33" s="35">
        <v>8.7799999999999994</v>
      </c>
      <c r="C33" s="1"/>
      <c r="D33" s="1"/>
      <c r="E33" s="1" t="s">
        <v>65</v>
      </c>
      <c r="F33" s="35">
        <v>3.73</v>
      </c>
      <c r="G33" s="1"/>
      <c r="H33" s="9"/>
    </row>
    <row r="34" spans="1:8" x14ac:dyDescent="0.15">
      <c r="A34" s="8" t="s">
        <v>46</v>
      </c>
      <c r="B34" s="35">
        <v>8.7799999999999994</v>
      </c>
      <c r="C34" s="1"/>
      <c r="D34" s="1"/>
      <c r="E34" s="1" t="s">
        <v>66</v>
      </c>
      <c r="F34" s="35">
        <v>3.73</v>
      </c>
      <c r="G34" s="1"/>
      <c r="H34" s="9"/>
    </row>
    <row r="35" spans="1:8" x14ac:dyDescent="0.15">
      <c r="A35" s="8" t="s">
        <v>47</v>
      </c>
      <c r="B35" s="35">
        <v>7.81</v>
      </c>
      <c r="C35" s="1"/>
      <c r="D35" s="1"/>
      <c r="E35" s="1" t="s">
        <v>67</v>
      </c>
      <c r="F35" s="35">
        <v>3.73</v>
      </c>
      <c r="G35" s="1"/>
      <c r="H35" s="9"/>
    </row>
    <row r="36" spans="1:8" x14ac:dyDescent="0.15">
      <c r="A36" s="8" t="s">
        <v>48</v>
      </c>
      <c r="B36" s="35">
        <v>7.81</v>
      </c>
      <c r="C36" s="1"/>
      <c r="D36" s="1"/>
      <c r="E36" s="1" t="s">
        <v>68</v>
      </c>
      <c r="F36" s="35">
        <v>3.73</v>
      </c>
      <c r="G36" s="1"/>
      <c r="H36" s="9"/>
    </row>
    <row r="37" spans="1:8" x14ac:dyDescent="0.15">
      <c r="A37" s="8" t="s">
        <v>49</v>
      </c>
      <c r="B37" s="35">
        <v>5.85</v>
      </c>
      <c r="C37" s="1"/>
      <c r="D37" s="1"/>
      <c r="E37" s="1" t="s">
        <v>86</v>
      </c>
      <c r="F37" s="35">
        <v>13.66</v>
      </c>
      <c r="G37" s="1"/>
      <c r="H37" s="9"/>
    </row>
    <row r="38" spans="1:8" x14ac:dyDescent="0.15">
      <c r="A38" s="8" t="s">
        <v>50</v>
      </c>
      <c r="B38" s="35">
        <v>5.85</v>
      </c>
      <c r="C38" s="1"/>
      <c r="D38" s="1"/>
      <c r="E38" s="1" t="s">
        <v>103</v>
      </c>
      <c r="F38" s="35">
        <v>13.66</v>
      </c>
      <c r="G38" s="1"/>
      <c r="H38" s="9"/>
    </row>
    <row r="39" spans="1:8" x14ac:dyDescent="0.15">
      <c r="A39" s="8"/>
      <c r="B39" s="1"/>
      <c r="C39" s="1"/>
      <c r="D39" s="1"/>
      <c r="E39" s="97" t="s">
        <v>104</v>
      </c>
      <c r="F39" s="98">
        <v>17.559999999999999</v>
      </c>
      <c r="G39" s="1"/>
      <c r="H39" s="9"/>
    </row>
    <row r="40" spans="1:8" x14ac:dyDescent="0.15">
      <c r="A40" s="8" t="s">
        <v>99</v>
      </c>
      <c r="B40" s="1">
        <v>19.510000000000002</v>
      </c>
      <c r="C40" s="1"/>
      <c r="D40" s="1"/>
      <c r="E40" s="53" t="s">
        <v>72</v>
      </c>
      <c r="F40" s="35">
        <v>1.66</v>
      </c>
      <c r="G40" s="1"/>
      <c r="H40" s="9"/>
    </row>
    <row r="41" spans="1:8" x14ac:dyDescent="0.15">
      <c r="A41" s="8" t="s">
        <v>100</v>
      </c>
      <c r="B41" s="1">
        <v>15.61</v>
      </c>
      <c r="C41" s="1"/>
      <c r="D41" s="1"/>
      <c r="E41" s="53" t="s">
        <v>73</v>
      </c>
      <c r="F41" s="35">
        <v>15.99</v>
      </c>
      <c r="G41" s="1"/>
      <c r="H41" s="9"/>
    </row>
    <row r="42" spans="1:8" x14ac:dyDescent="0.15">
      <c r="A42" s="8" t="s">
        <v>101</v>
      </c>
      <c r="B42" s="1">
        <v>11.71</v>
      </c>
      <c r="C42" s="1"/>
      <c r="D42" s="1"/>
      <c r="E42" s="53" t="s">
        <v>92</v>
      </c>
      <c r="F42" s="35">
        <v>5</v>
      </c>
      <c r="G42" s="1"/>
      <c r="H42" s="9"/>
    </row>
    <row r="43" spans="1:8" x14ac:dyDescent="0.15">
      <c r="A43" s="8"/>
      <c r="B43" s="1"/>
      <c r="C43" s="1"/>
      <c r="D43" s="1"/>
      <c r="E43" s="53" t="s">
        <v>71</v>
      </c>
      <c r="F43" s="35">
        <v>9.09</v>
      </c>
      <c r="G43" s="1"/>
      <c r="H43" s="9"/>
    </row>
    <row r="44" spans="1:8" x14ac:dyDescent="0.15">
      <c r="A44" s="8"/>
      <c r="B44" s="1"/>
      <c r="C44" s="1"/>
      <c r="D44" s="1"/>
      <c r="E44" s="54" t="s">
        <v>85</v>
      </c>
      <c r="F44" s="35">
        <v>4.21</v>
      </c>
      <c r="G44" s="1"/>
      <c r="H44" s="9"/>
    </row>
    <row r="45" spans="1:8" ht="13.5" thickBot="1" x14ac:dyDescent="0.2">
      <c r="A45" s="58"/>
      <c r="B45" s="26"/>
      <c r="C45" s="26"/>
      <c r="D45" s="26"/>
      <c r="E45" s="55" t="s">
        <v>105</v>
      </c>
      <c r="F45" s="50">
        <v>4.3899999999999997</v>
      </c>
      <c r="G45" s="26"/>
      <c r="H45" s="36"/>
    </row>
    <row r="46" spans="1:8" x14ac:dyDescent="0.15">
      <c r="A46" s="60" t="s">
        <v>94</v>
      </c>
      <c r="B46" s="61"/>
      <c r="C46" s="62"/>
      <c r="D46" s="63"/>
      <c r="E46" s="56" t="s">
        <v>57</v>
      </c>
      <c r="F46" s="51"/>
      <c r="G46" s="27"/>
      <c r="H46" s="28"/>
    </row>
    <row r="47" spans="1:8" x14ac:dyDescent="0.15">
      <c r="A47" s="64"/>
      <c r="B47" s="59"/>
      <c r="C47" s="52"/>
      <c r="D47" s="65"/>
      <c r="E47" s="53" t="s">
        <v>58</v>
      </c>
      <c r="F47" s="35"/>
      <c r="G47" s="1"/>
      <c r="H47" s="9"/>
    </row>
    <row r="48" spans="1:8" x14ac:dyDescent="0.15">
      <c r="A48" s="64"/>
      <c r="B48" s="59"/>
      <c r="C48" s="52"/>
      <c r="D48" s="65"/>
      <c r="E48" s="53" t="s">
        <v>59</v>
      </c>
      <c r="F48" s="35">
        <v>3.22</v>
      </c>
      <c r="G48" s="1"/>
      <c r="H48" s="9"/>
    </row>
    <row r="49" spans="1:8" x14ac:dyDescent="0.15">
      <c r="A49" s="64"/>
      <c r="B49" s="52"/>
      <c r="C49" s="52"/>
      <c r="D49" s="65"/>
      <c r="E49" s="53" t="s">
        <v>60</v>
      </c>
      <c r="F49" s="35"/>
      <c r="G49" s="1"/>
      <c r="H49" s="9"/>
    </row>
    <row r="50" spans="1:8" x14ac:dyDescent="0.15">
      <c r="A50" s="64"/>
      <c r="B50" s="52"/>
      <c r="C50" s="52"/>
      <c r="D50" s="65"/>
      <c r="E50" s="96" t="s">
        <v>107</v>
      </c>
      <c r="F50" s="32">
        <v>40.159999999999997</v>
      </c>
      <c r="G50" s="1"/>
      <c r="H50" s="9"/>
    </row>
    <row r="51" spans="1:8" x14ac:dyDescent="0.15">
      <c r="A51" s="64"/>
      <c r="B51" s="59"/>
      <c r="C51" s="52"/>
      <c r="D51" s="65"/>
      <c r="E51" s="64" t="s">
        <v>108</v>
      </c>
      <c r="F51" s="32">
        <v>46.14</v>
      </c>
      <c r="G51" s="1"/>
      <c r="H51" s="9"/>
    </row>
    <row r="52" spans="1:8" x14ac:dyDescent="0.15">
      <c r="A52" s="64"/>
      <c r="B52" s="59"/>
      <c r="C52" s="52"/>
      <c r="D52" s="65"/>
      <c r="E52" s="96" t="s">
        <v>106</v>
      </c>
      <c r="F52" s="32">
        <v>20.8</v>
      </c>
      <c r="G52" s="1"/>
      <c r="H52" s="9"/>
    </row>
    <row r="53" spans="1:8" x14ac:dyDescent="0.15">
      <c r="A53" s="64"/>
      <c r="B53" s="59"/>
      <c r="C53" s="52"/>
      <c r="D53" s="65"/>
      <c r="E53" s="53"/>
      <c r="F53" s="35"/>
      <c r="G53" s="1"/>
      <c r="H53" s="9"/>
    </row>
    <row r="54" spans="1:8" x14ac:dyDescent="0.15">
      <c r="A54" s="64"/>
      <c r="B54" s="52"/>
      <c r="C54" s="52"/>
      <c r="D54" s="65"/>
      <c r="E54" s="53" t="s">
        <v>96</v>
      </c>
      <c r="F54" s="35">
        <v>10.73</v>
      </c>
      <c r="G54" s="1"/>
      <c r="H54" s="9"/>
    </row>
    <row r="55" spans="1:8" x14ac:dyDescent="0.15">
      <c r="A55" s="66"/>
      <c r="B55" s="59"/>
      <c r="C55" s="52"/>
      <c r="D55" s="65"/>
      <c r="E55" s="53" t="s">
        <v>61</v>
      </c>
      <c r="F55" s="35">
        <v>1.98</v>
      </c>
      <c r="G55" s="1"/>
      <c r="H55" s="9"/>
    </row>
    <row r="56" spans="1:8" x14ac:dyDescent="0.15">
      <c r="A56" s="66"/>
      <c r="B56" s="59"/>
      <c r="C56" s="52"/>
      <c r="D56" s="65"/>
      <c r="E56" s="53" t="s">
        <v>93</v>
      </c>
      <c r="F56" s="35">
        <v>9.11</v>
      </c>
      <c r="G56" s="1"/>
      <c r="H56" s="9"/>
    </row>
    <row r="57" spans="1:8" x14ac:dyDescent="0.15">
      <c r="A57" s="64"/>
      <c r="B57" s="59"/>
      <c r="C57" s="52"/>
      <c r="D57" s="65"/>
      <c r="E57" s="53" t="s">
        <v>4</v>
      </c>
      <c r="F57" s="35"/>
      <c r="G57" s="1"/>
      <c r="H57" s="9"/>
    </row>
    <row r="58" spans="1:8" ht="13.5" thickBot="1" x14ac:dyDescent="0.2">
      <c r="A58" s="67"/>
      <c r="B58" s="68"/>
      <c r="C58" s="69"/>
      <c r="D58" s="70"/>
      <c r="E58" s="57" t="s">
        <v>62</v>
      </c>
      <c r="F58" s="39"/>
      <c r="G58" s="12"/>
      <c r="H58" s="13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5F32-4A44-42BF-AC36-81901B727CB8}">
  <dimension ref="A1:H58"/>
  <sheetViews>
    <sheetView tabSelected="1" topLeftCell="A3" workbookViewId="0">
      <selection activeCell="C43" sqref="C43"/>
    </sheetView>
  </sheetViews>
  <sheetFormatPr defaultRowHeight="12.75" x14ac:dyDescent="0.15"/>
  <cols>
    <col min="1" max="1" width="16.98828125" customWidth="1"/>
    <col min="5" max="5" width="16.98828125" customWidth="1"/>
  </cols>
  <sheetData>
    <row r="1" spans="1:8" ht="18.75" thickBot="1" x14ac:dyDescent="0.25">
      <c r="A1" s="139" t="s">
        <v>114</v>
      </c>
      <c r="B1" s="140"/>
      <c r="C1" s="140"/>
      <c r="D1" s="140"/>
      <c r="E1" s="140"/>
      <c r="F1" s="140"/>
      <c r="G1" s="140"/>
      <c r="H1" s="141"/>
    </row>
    <row r="2" spans="1:8" x14ac:dyDescent="0.15">
      <c r="A2" s="109" t="s">
        <v>0</v>
      </c>
      <c r="B2" s="110"/>
      <c r="C2" s="111"/>
      <c r="D2" s="111"/>
      <c r="E2" s="112" t="s">
        <v>8</v>
      </c>
      <c r="F2" s="111"/>
      <c r="G2" s="111"/>
      <c r="H2" s="113"/>
    </row>
    <row r="3" spans="1:8" x14ac:dyDescent="0.15">
      <c r="A3" s="114" t="s">
        <v>1</v>
      </c>
      <c r="B3" s="115"/>
      <c r="C3" s="116"/>
      <c r="D3" s="116"/>
      <c r="E3" s="117" t="s">
        <v>9</v>
      </c>
      <c r="F3" s="116"/>
      <c r="G3" s="116"/>
      <c r="H3" s="118"/>
    </row>
    <row r="4" spans="1:8" x14ac:dyDescent="0.15">
      <c r="A4" s="114" t="s">
        <v>2</v>
      </c>
      <c r="B4" s="115"/>
      <c r="C4" s="116"/>
      <c r="D4" s="116"/>
      <c r="E4" s="117" t="s">
        <v>10</v>
      </c>
      <c r="F4" s="116"/>
      <c r="G4" s="116"/>
      <c r="H4" s="118"/>
    </row>
    <row r="5" spans="1:8" x14ac:dyDescent="0.15">
      <c r="A5" s="114" t="s">
        <v>95</v>
      </c>
      <c r="B5" s="119"/>
      <c r="C5" s="116"/>
      <c r="D5" s="120"/>
      <c r="E5" s="117"/>
      <c r="F5" s="116"/>
      <c r="G5" s="116"/>
      <c r="H5" s="118"/>
    </row>
    <row r="6" spans="1:8" ht="13.5" thickBot="1" x14ac:dyDescent="0.2">
      <c r="A6" s="121" t="s">
        <v>11</v>
      </c>
      <c r="B6" s="122"/>
      <c r="C6" s="123"/>
      <c r="D6" s="123"/>
      <c r="E6" s="124"/>
      <c r="F6" s="123"/>
      <c r="G6" s="123"/>
      <c r="H6" s="125"/>
    </row>
    <row r="7" spans="1:8" x14ac:dyDescent="0.15">
      <c r="A7" s="99"/>
      <c r="B7" s="126" t="s">
        <v>5</v>
      </c>
      <c r="C7" s="126" t="s">
        <v>6</v>
      </c>
      <c r="D7" s="126" t="s">
        <v>7</v>
      </c>
      <c r="E7" s="101"/>
      <c r="F7" s="126" t="s">
        <v>5</v>
      </c>
      <c r="G7" s="126" t="s">
        <v>6</v>
      </c>
      <c r="H7" s="127" t="s">
        <v>7</v>
      </c>
    </row>
    <row r="8" spans="1:8" x14ac:dyDescent="0.15">
      <c r="A8" s="103" t="s">
        <v>12</v>
      </c>
      <c r="B8" s="2">
        <v>2.68</v>
      </c>
      <c r="C8" s="104"/>
      <c r="D8" s="104"/>
      <c r="E8" s="104" t="s">
        <v>41</v>
      </c>
      <c r="F8" s="2">
        <v>15.66</v>
      </c>
      <c r="G8" s="104"/>
      <c r="H8" s="105"/>
    </row>
    <row r="9" spans="1:8" x14ac:dyDescent="0.15">
      <c r="A9" s="103" t="s">
        <v>45</v>
      </c>
      <c r="B9" s="2">
        <v>4.18</v>
      </c>
      <c r="C9" s="104"/>
      <c r="D9" s="104"/>
      <c r="E9" s="104" t="s">
        <v>40</v>
      </c>
      <c r="F9" s="2">
        <v>10.44</v>
      </c>
      <c r="G9" s="104"/>
      <c r="H9" s="105"/>
    </row>
    <row r="10" spans="1:8" x14ac:dyDescent="0.15">
      <c r="A10" s="103" t="s">
        <v>13</v>
      </c>
      <c r="B10" s="2">
        <v>25.05</v>
      </c>
      <c r="C10" s="104"/>
      <c r="D10" s="104"/>
      <c r="E10" s="104" t="s">
        <v>39</v>
      </c>
      <c r="F10" s="2">
        <v>8.35</v>
      </c>
      <c r="G10" s="104"/>
      <c r="H10" s="105"/>
    </row>
    <row r="11" spans="1:8" x14ac:dyDescent="0.15">
      <c r="A11" s="103" t="s">
        <v>14</v>
      </c>
      <c r="B11" s="2">
        <v>16.7</v>
      </c>
      <c r="C11" s="104"/>
      <c r="D11" s="104"/>
      <c r="E11" s="104" t="s">
        <v>38</v>
      </c>
      <c r="F11" s="2">
        <v>6.26</v>
      </c>
      <c r="G11" s="104"/>
      <c r="H11" s="105"/>
    </row>
    <row r="12" spans="1:8" x14ac:dyDescent="0.15">
      <c r="A12" s="103" t="s">
        <v>15</v>
      </c>
      <c r="B12" s="2">
        <v>12.53</v>
      </c>
      <c r="C12" s="104"/>
      <c r="D12" s="104"/>
      <c r="E12" s="104" t="s">
        <v>37</v>
      </c>
      <c r="F12" s="2">
        <v>6.26</v>
      </c>
      <c r="G12" s="104"/>
      <c r="H12" s="105"/>
    </row>
    <row r="13" spans="1:8" x14ac:dyDescent="0.15">
      <c r="A13" s="103" t="s">
        <v>16</v>
      </c>
      <c r="B13" s="2">
        <v>8.35</v>
      </c>
      <c r="C13" s="104"/>
      <c r="D13" s="104"/>
      <c r="E13" s="104" t="s">
        <v>36</v>
      </c>
      <c r="F13" s="2">
        <v>6.26</v>
      </c>
      <c r="G13" s="104"/>
      <c r="H13" s="105"/>
    </row>
    <row r="14" spans="1:8" x14ac:dyDescent="0.15">
      <c r="A14" s="103"/>
      <c r="B14" s="2"/>
      <c r="C14" s="104"/>
      <c r="D14" s="104"/>
      <c r="E14" s="104" t="s">
        <v>51</v>
      </c>
      <c r="F14" s="2">
        <v>16.71</v>
      </c>
      <c r="G14" s="104"/>
      <c r="H14" s="105"/>
    </row>
    <row r="15" spans="1:8" x14ac:dyDescent="0.15">
      <c r="A15" s="103" t="s">
        <v>18</v>
      </c>
      <c r="B15" s="2">
        <v>9.4</v>
      </c>
      <c r="C15" s="104"/>
      <c r="D15" s="104"/>
      <c r="E15" s="104" t="s">
        <v>52</v>
      </c>
      <c r="F15" s="2">
        <v>12.53</v>
      </c>
      <c r="G15" s="104"/>
      <c r="H15" s="105"/>
    </row>
    <row r="16" spans="1:8" x14ac:dyDescent="0.15">
      <c r="A16" s="103" t="s">
        <v>19</v>
      </c>
      <c r="B16" s="2">
        <v>6.26</v>
      </c>
      <c r="C16" s="104"/>
      <c r="D16" s="104"/>
      <c r="E16" s="104" t="s">
        <v>53</v>
      </c>
      <c r="F16" s="2">
        <v>12.53</v>
      </c>
      <c r="G16" s="104"/>
      <c r="H16" s="105"/>
    </row>
    <row r="17" spans="1:8" x14ac:dyDescent="0.15">
      <c r="A17" s="103" t="s">
        <v>20</v>
      </c>
      <c r="B17" s="2">
        <v>6.25</v>
      </c>
      <c r="C17" s="104"/>
      <c r="D17" s="104"/>
      <c r="E17" s="104" t="s">
        <v>54</v>
      </c>
      <c r="F17" s="2">
        <v>8.35</v>
      </c>
      <c r="G17" s="104"/>
      <c r="H17" s="105"/>
    </row>
    <row r="18" spans="1:8" x14ac:dyDescent="0.15">
      <c r="A18" s="103" t="s">
        <v>21</v>
      </c>
      <c r="B18" s="2">
        <v>5.23</v>
      </c>
      <c r="C18" s="104"/>
      <c r="D18" s="104"/>
      <c r="E18" s="104" t="s">
        <v>55</v>
      </c>
      <c r="F18" s="2">
        <v>8.35</v>
      </c>
      <c r="G18" s="104"/>
      <c r="H18" s="105"/>
    </row>
    <row r="19" spans="1:8" x14ac:dyDescent="0.15">
      <c r="A19" s="103" t="s">
        <v>22</v>
      </c>
      <c r="B19" s="2">
        <v>5.22</v>
      </c>
      <c r="C19" s="104"/>
      <c r="D19" s="104"/>
      <c r="E19" s="104" t="s">
        <v>56</v>
      </c>
      <c r="F19" s="2">
        <v>8.35</v>
      </c>
      <c r="G19" s="104"/>
      <c r="H19" s="105"/>
    </row>
    <row r="20" spans="1:8" x14ac:dyDescent="0.15">
      <c r="A20" s="103" t="s">
        <v>23</v>
      </c>
      <c r="B20" s="2">
        <v>5.22</v>
      </c>
      <c r="C20" s="104"/>
      <c r="D20" s="104"/>
      <c r="E20" s="104" t="s">
        <v>76</v>
      </c>
      <c r="F20" s="2">
        <v>5.51</v>
      </c>
      <c r="G20" s="104"/>
      <c r="H20" s="105"/>
    </row>
    <row r="21" spans="1:8" x14ac:dyDescent="0.15">
      <c r="A21" s="103" t="s">
        <v>24</v>
      </c>
      <c r="B21" s="2">
        <v>5.22</v>
      </c>
      <c r="C21" s="104"/>
      <c r="D21" s="104"/>
      <c r="E21" s="104" t="s">
        <v>77</v>
      </c>
      <c r="F21" s="2">
        <v>11.02</v>
      </c>
      <c r="G21" s="104"/>
      <c r="H21" s="105"/>
    </row>
    <row r="22" spans="1:8" x14ac:dyDescent="0.15">
      <c r="A22" s="103"/>
      <c r="B22" s="2"/>
      <c r="C22" s="104"/>
      <c r="D22" s="104"/>
      <c r="E22" s="104" t="s">
        <v>78</v>
      </c>
      <c r="F22" s="2">
        <v>16.53</v>
      </c>
      <c r="G22" s="104"/>
      <c r="H22" s="105"/>
    </row>
    <row r="23" spans="1:8" x14ac:dyDescent="0.15">
      <c r="A23" s="103"/>
      <c r="B23" s="2"/>
      <c r="C23" s="104"/>
      <c r="D23" s="104"/>
      <c r="E23" s="104" t="s">
        <v>79</v>
      </c>
      <c r="F23" s="2">
        <v>22.04</v>
      </c>
      <c r="G23" s="104"/>
      <c r="H23" s="105"/>
    </row>
    <row r="24" spans="1:8" x14ac:dyDescent="0.15">
      <c r="A24" s="103"/>
      <c r="B24" s="2"/>
      <c r="C24" s="104"/>
      <c r="D24" s="104"/>
      <c r="E24" s="104" t="s">
        <v>80</v>
      </c>
      <c r="F24" s="2">
        <v>27.55</v>
      </c>
      <c r="G24" s="104"/>
      <c r="H24" s="105"/>
    </row>
    <row r="25" spans="1:8" x14ac:dyDescent="0.15">
      <c r="A25" s="103" t="s">
        <v>29</v>
      </c>
      <c r="B25" s="2">
        <v>5.22</v>
      </c>
      <c r="C25" s="104"/>
      <c r="D25" s="104"/>
      <c r="E25" s="104" t="s">
        <v>81</v>
      </c>
      <c r="F25" s="2">
        <v>33.06</v>
      </c>
      <c r="G25" s="104"/>
      <c r="H25" s="105"/>
    </row>
    <row r="26" spans="1:8" x14ac:dyDescent="0.15">
      <c r="A26" s="103" t="s">
        <v>25</v>
      </c>
      <c r="B26" s="2">
        <v>5.22</v>
      </c>
      <c r="C26" s="104"/>
      <c r="D26" s="104"/>
      <c r="E26" s="104" t="s">
        <v>102</v>
      </c>
      <c r="F26" s="2">
        <v>23.94</v>
      </c>
      <c r="G26" s="104"/>
      <c r="H26" s="105"/>
    </row>
    <row r="27" spans="1:8" x14ac:dyDescent="0.15">
      <c r="A27" s="103" t="s">
        <v>30</v>
      </c>
      <c r="B27" s="2">
        <v>3.99</v>
      </c>
      <c r="C27" s="104"/>
      <c r="D27" s="104"/>
      <c r="E27" s="104" t="s">
        <v>43</v>
      </c>
      <c r="F27" s="2">
        <v>16.71</v>
      </c>
      <c r="G27" s="104"/>
      <c r="H27" s="105"/>
    </row>
    <row r="28" spans="1:8" x14ac:dyDescent="0.15">
      <c r="A28" s="103" t="s">
        <v>44</v>
      </c>
      <c r="B28" s="2">
        <v>3.99</v>
      </c>
      <c r="C28" s="104"/>
      <c r="D28" s="104"/>
      <c r="E28" s="104" t="s">
        <v>75</v>
      </c>
      <c r="F28" s="2">
        <v>17.53</v>
      </c>
      <c r="G28" s="104"/>
      <c r="H28" s="105"/>
    </row>
    <row r="29" spans="1:8" x14ac:dyDescent="0.15">
      <c r="A29" s="103" t="s">
        <v>31</v>
      </c>
      <c r="B29" s="2">
        <v>9.4</v>
      </c>
      <c r="C29" s="104"/>
      <c r="D29" s="104"/>
      <c r="E29" s="104" t="s">
        <v>83</v>
      </c>
      <c r="F29" s="2">
        <v>51.33</v>
      </c>
      <c r="G29" s="104"/>
      <c r="H29" s="105"/>
    </row>
    <row r="30" spans="1:8" x14ac:dyDescent="0.15">
      <c r="A30" s="103" t="s">
        <v>32</v>
      </c>
      <c r="B30" s="2">
        <v>9.4</v>
      </c>
      <c r="C30" s="104"/>
      <c r="D30" s="104"/>
      <c r="E30" s="104" t="s">
        <v>84</v>
      </c>
      <c r="F30" s="2">
        <v>13.39</v>
      </c>
      <c r="G30" s="104"/>
      <c r="H30" s="105"/>
    </row>
    <row r="31" spans="1:8" x14ac:dyDescent="0.15">
      <c r="A31" s="103" t="s">
        <v>33</v>
      </c>
      <c r="B31" s="2">
        <v>9.4</v>
      </c>
      <c r="C31" s="104"/>
      <c r="D31" s="104"/>
      <c r="E31" s="104" t="s">
        <v>63</v>
      </c>
      <c r="F31" s="2">
        <v>3.99</v>
      </c>
      <c r="G31" s="104"/>
      <c r="H31" s="105"/>
    </row>
    <row r="32" spans="1:8" x14ac:dyDescent="0.15">
      <c r="A32" s="103" t="s">
        <v>34</v>
      </c>
      <c r="B32" s="2">
        <v>9.4</v>
      </c>
      <c r="C32" s="104"/>
      <c r="D32" s="104"/>
      <c r="E32" s="104" t="s">
        <v>64</v>
      </c>
      <c r="F32" s="2">
        <v>3.99</v>
      </c>
      <c r="G32" s="104"/>
      <c r="H32" s="105"/>
    </row>
    <row r="33" spans="1:8" x14ac:dyDescent="0.15">
      <c r="A33" s="103" t="s">
        <v>35</v>
      </c>
      <c r="B33" s="2">
        <v>9.4</v>
      </c>
      <c r="C33" s="104"/>
      <c r="D33" s="104"/>
      <c r="E33" s="104" t="s">
        <v>65</v>
      </c>
      <c r="F33" s="2">
        <v>3.99</v>
      </c>
      <c r="G33" s="104"/>
      <c r="H33" s="105"/>
    </row>
    <row r="34" spans="1:8" x14ac:dyDescent="0.15">
      <c r="A34" s="103" t="s">
        <v>46</v>
      </c>
      <c r="B34" s="2">
        <v>9.4</v>
      </c>
      <c r="C34" s="104"/>
      <c r="D34" s="104"/>
      <c r="E34" s="104" t="s">
        <v>66</v>
      </c>
      <c r="F34" s="2">
        <v>3.99</v>
      </c>
      <c r="G34" s="104"/>
      <c r="H34" s="105"/>
    </row>
    <row r="35" spans="1:8" x14ac:dyDescent="0.15">
      <c r="A35" s="103" t="s">
        <v>47</v>
      </c>
      <c r="B35" s="2">
        <v>8.35</v>
      </c>
      <c r="C35" s="104"/>
      <c r="D35" s="104"/>
      <c r="E35" s="104" t="s">
        <v>67</v>
      </c>
      <c r="F35" s="2">
        <v>3.99</v>
      </c>
      <c r="G35" s="104"/>
      <c r="H35" s="105"/>
    </row>
    <row r="36" spans="1:8" x14ac:dyDescent="0.15">
      <c r="A36" s="103" t="s">
        <v>48</v>
      </c>
      <c r="B36" s="2">
        <v>8.35</v>
      </c>
      <c r="C36" s="104"/>
      <c r="D36" s="104"/>
      <c r="E36" s="104" t="s">
        <v>68</v>
      </c>
      <c r="F36" s="2">
        <v>3.99</v>
      </c>
      <c r="G36" s="104"/>
      <c r="H36" s="105"/>
    </row>
    <row r="37" spans="1:8" x14ac:dyDescent="0.15">
      <c r="A37" s="103" t="s">
        <v>49</v>
      </c>
      <c r="B37" s="2">
        <v>6.26</v>
      </c>
      <c r="C37" s="104"/>
      <c r="D37" s="104"/>
      <c r="E37" s="104" t="s">
        <v>86</v>
      </c>
      <c r="F37" s="2">
        <v>14.62</v>
      </c>
      <c r="G37" s="104"/>
      <c r="H37" s="105"/>
    </row>
    <row r="38" spans="1:8" x14ac:dyDescent="0.15">
      <c r="A38" s="103" t="s">
        <v>50</v>
      </c>
      <c r="B38" s="2">
        <v>6.26</v>
      </c>
      <c r="C38" s="104"/>
      <c r="D38" s="104"/>
      <c r="E38" s="104" t="s">
        <v>103</v>
      </c>
      <c r="F38" s="2">
        <v>14.62</v>
      </c>
      <c r="G38" s="104"/>
      <c r="H38" s="105"/>
    </row>
    <row r="39" spans="1:8" x14ac:dyDescent="0.15">
      <c r="A39" s="103"/>
      <c r="B39" s="2"/>
      <c r="C39" s="104"/>
      <c r="D39" s="104"/>
      <c r="E39" s="128" t="s">
        <v>104</v>
      </c>
      <c r="F39" s="2">
        <v>18.79</v>
      </c>
      <c r="G39" s="104"/>
      <c r="H39" s="105"/>
    </row>
    <row r="40" spans="1:8" x14ac:dyDescent="0.15">
      <c r="A40" s="103" t="s">
        <v>99</v>
      </c>
      <c r="B40" s="2">
        <v>20.88</v>
      </c>
      <c r="C40" s="104"/>
      <c r="D40" s="104"/>
      <c r="E40" s="129" t="s">
        <v>72</v>
      </c>
      <c r="F40" s="2">
        <v>1.77</v>
      </c>
      <c r="G40" s="104"/>
      <c r="H40" s="105"/>
    </row>
    <row r="41" spans="1:8" x14ac:dyDescent="0.15">
      <c r="A41" s="103" t="s">
        <v>100</v>
      </c>
      <c r="B41" s="2">
        <v>16.71</v>
      </c>
      <c r="C41" s="104"/>
      <c r="D41" s="104"/>
      <c r="E41" s="129" t="s">
        <v>73</v>
      </c>
      <c r="F41" s="2">
        <v>17.12</v>
      </c>
      <c r="G41" s="104"/>
      <c r="H41" s="105"/>
    </row>
    <row r="42" spans="1:8" x14ac:dyDescent="0.15">
      <c r="A42" s="103" t="s">
        <v>101</v>
      </c>
      <c r="B42" s="2">
        <v>12.53</v>
      </c>
      <c r="C42" s="104"/>
      <c r="D42" s="104"/>
      <c r="E42" s="129" t="s">
        <v>92</v>
      </c>
      <c r="F42" s="2">
        <v>5.15</v>
      </c>
      <c r="G42" s="104"/>
      <c r="H42" s="105"/>
    </row>
    <row r="43" spans="1:8" x14ac:dyDescent="0.15">
      <c r="A43" s="103"/>
      <c r="B43" s="104"/>
      <c r="C43" s="104"/>
      <c r="D43" s="104"/>
      <c r="E43" s="129" t="s">
        <v>71</v>
      </c>
      <c r="F43" s="2">
        <v>9.73</v>
      </c>
      <c r="G43" s="104"/>
      <c r="H43" s="105"/>
    </row>
    <row r="44" spans="1:8" x14ac:dyDescent="0.15">
      <c r="A44" s="103"/>
      <c r="B44" s="104"/>
      <c r="C44" s="104"/>
      <c r="D44" s="104"/>
      <c r="E44" s="129" t="s">
        <v>85</v>
      </c>
      <c r="F44" s="2">
        <v>4.51</v>
      </c>
      <c r="G44" s="104"/>
      <c r="H44" s="105"/>
    </row>
    <row r="45" spans="1:8" ht="13.5" thickBot="1" x14ac:dyDescent="0.2">
      <c r="A45" s="130"/>
      <c r="B45" s="131"/>
      <c r="C45" s="131"/>
      <c r="D45" s="131"/>
      <c r="E45" s="132"/>
      <c r="F45" s="133"/>
      <c r="G45" s="131"/>
      <c r="H45" s="134"/>
    </row>
    <row r="46" spans="1:8" x14ac:dyDescent="0.15">
      <c r="A46" s="135" t="s">
        <v>94</v>
      </c>
      <c r="B46" s="136"/>
      <c r="C46" s="137"/>
      <c r="D46" s="138"/>
      <c r="E46" s="99" t="s">
        <v>109</v>
      </c>
      <c r="F46" s="100"/>
      <c r="G46" s="101"/>
      <c r="H46" s="102"/>
    </row>
    <row r="47" spans="1:8" x14ac:dyDescent="0.15">
      <c r="A47" s="64"/>
      <c r="B47" s="59"/>
      <c r="C47" s="52"/>
      <c r="D47" s="65"/>
      <c r="E47" s="103" t="s">
        <v>110</v>
      </c>
      <c r="F47" s="2"/>
      <c r="G47" s="104"/>
      <c r="H47" s="105"/>
    </row>
    <row r="48" spans="1:8" x14ac:dyDescent="0.15">
      <c r="A48" s="64"/>
      <c r="B48" s="59"/>
      <c r="C48" s="52"/>
      <c r="D48" s="65"/>
      <c r="E48" s="103" t="s">
        <v>59</v>
      </c>
      <c r="F48" s="2">
        <v>3.45</v>
      </c>
      <c r="G48" s="104"/>
      <c r="H48" s="105"/>
    </row>
    <row r="49" spans="1:8" x14ac:dyDescent="0.15">
      <c r="A49" s="64"/>
      <c r="B49" s="52"/>
      <c r="C49" s="52"/>
      <c r="D49" s="65"/>
      <c r="E49" s="103" t="s">
        <v>93</v>
      </c>
      <c r="F49" s="2">
        <v>9.67</v>
      </c>
      <c r="G49" s="104"/>
      <c r="H49" s="105"/>
    </row>
    <row r="50" spans="1:8" x14ac:dyDescent="0.15">
      <c r="A50" s="64"/>
      <c r="B50" s="52"/>
      <c r="C50" s="52"/>
      <c r="D50" s="65"/>
      <c r="E50" s="103" t="s">
        <v>96</v>
      </c>
      <c r="F50" s="2">
        <v>11.49</v>
      </c>
      <c r="G50" s="104"/>
      <c r="H50" s="105"/>
    </row>
    <row r="51" spans="1:8" x14ac:dyDescent="0.15">
      <c r="A51" s="64"/>
      <c r="B51" s="59"/>
      <c r="C51" s="52"/>
      <c r="D51" s="65"/>
      <c r="E51" s="103" t="s">
        <v>111</v>
      </c>
      <c r="F51" s="2">
        <v>4.7</v>
      </c>
      <c r="G51" s="104"/>
      <c r="H51" s="105"/>
    </row>
    <row r="52" spans="1:8" x14ac:dyDescent="0.15">
      <c r="A52" s="64"/>
      <c r="B52" s="59"/>
      <c r="C52" s="52"/>
      <c r="D52" s="65"/>
      <c r="E52" s="103" t="s">
        <v>112</v>
      </c>
      <c r="F52" s="2"/>
      <c r="G52" s="104"/>
      <c r="H52" s="105"/>
    </row>
    <row r="53" spans="1:8" x14ac:dyDescent="0.15">
      <c r="A53" s="64"/>
      <c r="B53" s="59"/>
      <c r="C53" s="52"/>
      <c r="D53" s="65"/>
      <c r="E53" s="103" t="s">
        <v>113</v>
      </c>
      <c r="F53" s="2">
        <v>2.12</v>
      </c>
      <c r="G53" s="104"/>
      <c r="H53" s="105"/>
    </row>
    <row r="54" spans="1:8" x14ac:dyDescent="0.15">
      <c r="A54" s="64"/>
      <c r="B54" s="52"/>
      <c r="C54" s="52"/>
      <c r="D54" s="65"/>
      <c r="E54" s="103" t="s">
        <v>4</v>
      </c>
      <c r="F54" s="2"/>
      <c r="G54" s="104"/>
      <c r="H54" s="105"/>
    </row>
    <row r="55" spans="1:8" x14ac:dyDescent="0.15">
      <c r="A55" s="66"/>
      <c r="B55" s="59"/>
      <c r="C55" s="52"/>
      <c r="D55" s="65"/>
      <c r="E55" s="103" t="s">
        <v>62</v>
      </c>
      <c r="F55" s="2"/>
      <c r="G55" s="104"/>
      <c r="H55" s="105"/>
    </row>
    <row r="56" spans="1:8" x14ac:dyDescent="0.15">
      <c r="A56" s="66"/>
      <c r="B56" s="59"/>
      <c r="C56" s="52"/>
      <c r="D56" s="65"/>
      <c r="E56" s="103" t="s">
        <v>107</v>
      </c>
      <c r="F56" s="2">
        <v>42.98</v>
      </c>
      <c r="G56" s="104"/>
      <c r="H56" s="105"/>
    </row>
    <row r="57" spans="1:8" x14ac:dyDescent="0.15">
      <c r="A57" s="64"/>
      <c r="B57" s="59"/>
      <c r="C57" s="52"/>
      <c r="D57" s="65"/>
      <c r="E57" s="103" t="s">
        <v>108</v>
      </c>
      <c r="F57" s="2">
        <v>49.38</v>
      </c>
      <c r="G57" s="104"/>
      <c r="H57" s="105"/>
    </row>
    <row r="58" spans="1:8" ht="13.5" thickBot="1" x14ac:dyDescent="0.2">
      <c r="A58" s="67"/>
      <c r="B58" s="68"/>
      <c r="C58" s="69"/>
      <c r="D58" s="70"/>
      <c r="E58" s="106" t="s">
        <v>106</v>
      </c>
      <c r="F58" s="11">
        <v>22.26</v>
      </c>
      <c r="G58" s="107"/>
      <c r="H58" s="108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B141F88E2FBC4FB98D48A8E9353E02" ma:contentTypeVersion="6" ma:contentTypeDescription="Opret et nyt dokument." ma:contentTypeScope="" ma:versionID="afba924230e4227dd3d7932965864675">
  <xsd:schema xmlns:xsd="http://www.w3.org/2001/XMLSchema" xmlns:xs="http://www.w3.org/2001/XMLSchema" xmlns:p="http://schemas.microsoft.com/office/2006/metadata/properties" xmlns:ns2="030bee3d-1ce2-4fbb-88cd-0a619017b920" targetNamespace="http://schemas.microsoft.com/office/2006/metadata/properties" ma:root="true" ma:fieldsID="7605a245c28e57c9b4f27f09433f2800" ns2:_="">
    <xsd:import namespace="030bee3d-1ce2-4fbb-88cd-0a619017b9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bee3d-1ce2-4fbb-88cd-0a619017b9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CE4988-0C16-4FE7-AC6B-D12733CB334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30bee3d-1ce2-4fbb-88cd-0a619017b920"/>
  </ds:schemaRefs>
</ds:datastoreItem>
</file>

<file path=customXml/itemProps2.xml><?xml version="1.0" encoding="utf-8"?>
<ds:datastoreItem xmlns:ds="http://schemas.openxmlformats.org/officeDocument/2006/customXml" ds:itemID="{BE967B23-279D-43E7-B1E3-44D3D7F0F3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Regneark</vt:lpstr>
      </vt:variant>
      <vt:variant>
        <vt:i4>12</vt:i4>
      </vt:variant>
      <vt:variant>
        <vt:lpstr>Navngivne områder</vt:lpstr>
      </vt:variant>
      <vt:variant>
        <vt:i4>1</vt:i4>
      </vt:variant>
    </vt:vector>
  </HeadingPairs>
  <TitlesOfParts>
    <vt:vector size="13" baseType="lpstr">
      <vt:lpstr>Faktor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2025</vt:lpstr>
      <vt:lpstr>2014!Udskriftsområde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Nielsen</dc:creator>
  <cp:lastModifiedBy>X</cp:lastModifiedBy>
  <cp:lastPrinted>2025-05-14T10:38:47Z</cp:lastPrinted>
  <dcterms:created xsi:type="dcterms:W3CDTF">2003-02-08T14:56:32Z</dcterms:created>
  <dcterms:modified xsi:type="dcterms:W3CDTF">2025-11-15T10:06:50Z</dcterms:modified>
</cp:coreProperties>
</file>